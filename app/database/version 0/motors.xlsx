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wang\Documents\Atelier_de_bing\atelier-de-bing\app\database\"/>
    </mc:Choice>
  </mc:AlternateContent>
  <xr:revisionPtr revIDLastSave="0" documentId="13_ncr:1_{6C3CEAA8-DC62-4A6D-992F-511B4B19D0A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Sheet1!$A$1:$S$788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2" i="1"/>
  <c r="Q3" i="1"/>
  <c r="Q4" i="1"/>
  <c r="Q5" i="1"/>
  <c r="Q6" i="1"/>
  <c r="R6" i="1"/>
  <c r="Q7" i="1"/>
  <c r="Q8" i="1"/>
  <c r="Q9" i="1"/>
  <c r="Q10" i="1"/>
  <c r="Q11" i="1"/>
  <c r="Q12" i="1"/>
  <c r="Q13" i="1"/>
  <c r="Q14" i="1"/>
  <c r="R14" i="1"/>
  <c r="S14" i="1"/>
  <c r="Q15" i="1"/>
  <c r="R15" i="1"/>
  <c r="Q16" i="1"/>
  <c r="R16" i="1"/>
  <c r="S16" i="1"/>
  <c r="Q17" i="1"/>
  <c r="R17" i="1"/>
  <c r="Q18" i="1"/>
  <c r="Q19" i="1"/>
  <c r="Q20" i="1"/>
  <c r="R20" i="1"/>
  <c r="Q21" i="1"/>
  <c r="R21" i="1"/>
  <c r="S21" i="1"/>
  <c r="Q22" i="1"/>
  <c r="Q23" i="1"/>
  <c r="Q24" i="1"/>
  <c r="R24" i="1"/>
  <c r="Q25" i="1"/>
  <c r="R25" i="1"/>
  <c r="Q26" i="1"/>
  <c r="Q27" i="1"/>
  <c r="Q28" i="1"/>
  <c r="R28" i="1"/>
  <c r="S28" i="1"/>
  <c r="Q29" i="1"/>
  <c r="Q30" i="1"/>
  <c r="Q31" i="1"/>
  <c r="R31" i="1"/>
  <c r="Q32" i="1"/>
  <c r="Q33" i="1"/>
  <c r="R33" i="1"/>
  <c r="Q34" i="1"/>
  <c r="R34" i="1"/>
  <c r="S34" i="1"/>
  <c r="Q35" i="1"/>
  <c r="Q36" i="1"/>
  <c r="Q37" i="1"/>
  <c r="Q38" i="1"/>
  <c r="Q39" i="1"/>
  <c r="R39" i="1"/>
  <c r="Q40" i="1"/>
  <c r="R40" i="1"/>
  <c r="Q41" i="1"/>
  <c r="Q42" i="1"/>
  <c r="Q43" i="1"/>
  <c r="R43" i="1"/>
  <c r="Q44" i="1"/>
  <c r="Q45" i="1"/>
  <c r="Q46" i="1"/>
  <c r="Q47" i="1"/>
  <c r="Q48" i="1"/>
  <c r="R48" i="1"/>
  <c r="Q49" i="1"/>
  <c r="Q50" i="1"/>
  <c r="Q51" i="1"/>
  <c r="Q52" i="1"/>
  <c r="Q53" i="1"/>
  <c r="Q54" i="1"/>
  <c r="Q55" i="1"/>
  <c r="R55" i="1"/>
  <c r="Q56" i="1"/>
  <c r="Q57" i="1"/>
  <c r="Q58" i="1"/>
  <c r="Q59" i="1"/>
  <c r="Q60" i="1"/>
  <c r="Q61" i="1"/>
  <c r="Q62" i="1"/>
  <c r="Q63" i="1"/>
  <c r="Q64" i="1"/>
  <c r="Q65" i="1"/>
  <c r="Q66" i="1"/>
  <c r="R66" i="1"/>
  <c r="Q67" i="1"/>
  <c r="Q68" i="1"/>
  <c r="Q69" i="1"/>
  <c r="Q70" i="1"/>
  <c r="Q71" i="1"/>
  <c r="Q72" i="1"/>
  <c r="Q73" i="1"/>
  <c r="R73" i="1"/>
  <c r="Q74" i="1"/>
  <c r="R74" i="1"/>
  <c r="Q75" i="1"/>
  <c r="R75" i="1"/>
  <c r="Q76" i="1"/>
  <c r="Q77" i="1"/>
  <c r="Q78" i="1"/>
  <c r="Q79" i="1"/>
  <c r="Q80" i="1"/>
  <c r="Q81" i="1"/>
  <c r="Q82" i="1"/>
  <c r="Q83" i="1"/>
  <c r="R83" i="1"/>
  <c r="Q84" i="1"/>
  <c r="Q85" i="1"/>
  <c r="Q86" i="1"/>
  <c r="Q87" i="1"/>
  <c r="Q88" i="1"/>
  <c r="Q89" i="1"/>
  <c r="Q90" i="1"/>
  <c r="Q91" i="1"/>
  <c r="R91" i="1"/>
  <c r="Q92" i="1"/>
  <c r="Q93" i="1"/>
  <c r="Q94" i="1"/>
  <c r="Q95" i="1"/>
  <c r="R95" i="1"/>
  <c r="Q96" i="1"/>
  <c r="Q97" i="1"/>
  <c r="Q98" i="1"/>
  <c r="R98" i="1"/>
  <c r="Q99" i="1"/>
  <c r="R99" i="1"/>
  <c r="Q100" i="1"/>
  <c r="Q101" i="1"/>
  <c r="Q102" i="1"/>
  <c r="Q103" i="1"/>
  <c r="R103" i="1"/>
  <c r="Q104" i="1"/>
  <c r="Q105" i="1"/>
  <c r="Q106" i="1"/>
  <c r="Q107" i="1"/>
  <c r="Q108" i="1"/>
  <c r="R108" i="1"/>
  <c r="Q109" i="1"/>
  <c r="Q110" i="1"/>
  <c r="Q111" i="1"/>
  <c r="Q112" i="1"/>
  <c r="R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R135" i="1"/>
  <c r="Q136" i="1"/>
  <c r="R136" i="1"/>
  <c r="Q137" i="1"/>
  <c r="Q138" i="1"/>
  <c r="R138" i="1"/>
  <c r="Q139" i="1"/>
  <c r="Q140" i="1"/>
  <c r="Q141" i="1"/>
  <c r="Q142" i="1"/>
  <c r="R142" i="1"/>
  <c r="Q143" i="1"/>
  <c r="Q144" i="1"/>
  <c r="Q145" i="1"/>
  <c r="R145" i="1"/>
  <c r="Q146" i="1"/>
  <c r="R146" i="1"/>
  <c r="Q147" i="1"/>
  <c r="Q148" i="1"/>
  <c r="R148" i="1"/>
  <c r="Q149" i="1"/>
  <c r="Q150" i="1"/>
  <c r="Q151" i="1"/>
  <c r="Q152" i="1"/>
  <c r="Q153" i="1"/>
  <c r="Q154" i="1"/>
  <c r="R154" i="1"/>
  <c r="Q155" i="1"/>
  <c r="R155" i="1"/>
  <c r="Q156" i="1"/>
  <c r="R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R168" i="1"/>
  <c r="S168" i="1"/>
  <c r="Q169" i="1"/>
  <c r="R169" i="1"/>
  <c r="Q170" i="1"/>
  <c r="Q171" i="1"/>
  <c r="Q172" i="1"/>
  <c r="Q173" i="1"/>
  <c r="Q174" i="1"/>
  <c r="Q175" i="1"/>
  <c r="Q176" i="1"/>
  <c r="Q177" i="1"/>
  <c r="R177" i="1"/>
  <c r="Q178" i="1"/>
  <c r="Q179" i="1"/>
  <c r="R179" i="1"/>
  <c r="Q180" i="1"/>
  <c r="R180" i="1"/>
  <c r="Q181" i="1"/>
  <c r="Q182" i="1"/>
  <c r="Q183" i="1"/>
  <c r="Q184" i="1"/>
  <c r="R184" i="1"/>
  <c r="Q185" i="1"/>
  <c r="Q186" i="1"/>
  <c r="Q187" i="1"/>
  <c r="Q188" i="1"/>
  <c r="R188" i="1"/>
  <c r="Q189" i="1"/>
  <c r="Q190" i="1"/>
  <c r="R190" i="1"/>
  <c r="Q191" i="1"/>
  <c r="R191" i="1"/>
  <c r="Q192" i="1"/>
  <c r="Q193" i="1"/>
  <c r="Q194" i="1"/>
  <c r="Q195" i="1"/>
  <c r="Q196" i="1"/>
  <c r="Q197" i="1"/>
  <c r="R197" i="1"/>
  <c r="Q198" i="1"/>
  <c r="Q199" i="1"/>
  <c r="R199" i="1"/>
  <c r="S199" i="1"/>
  <c r="Q200" i="1"/>
  <c r="Q201" i="1"/>
  <c r="R201" i="1"/>
  <c r="Q202" i="1"/>
  <c r="R202" i="1"/>
  <c r="Q203" i="1"/>
  <c r="R203" i="1"/>
  <c r="S203" i="1"/>
  <c r="Q204" i="1"/>
  <c r="Q205" i="1"/>
  <c r="R205" i="1"/>
  <c r="S205" i="1"/>
  <c r="Q206" i="1"/>
  <c r="R206" i="1"/>
  <c r="Q207" i="1"/>
  <c r="Q208" i="1"/>
  <c r="Q209" i="1"/>
  <c r="R209" i="1"/>
  <c r="Q210" i="1"/>
  <c r="Q211" i="1"/>
  <c r="R211" i="1"/>
  <c r="S211" i="1"/>
  <c r="Q212" i="1"/>
  <c r="Q213" i="1"/>
  <c r="R213" i="1"/>
  <c r="Q214" i="1"/>
  <c r="Q215" i="1"/>
  <c r="Q216" i="1"/>
  <c r="R216" i="1"/>
  <c r="S216" i="1"/>
  <c r="Q217" i="1"/>
  <c r="Q218" i="1"/>
  <c r="R218" i="1"/>
  <c r="S218" i="1"/>
  <c r="Q219" i="1"/>
  <c r="Q220" i="1"/>
  <c r="Q221" i="1"/>
  <c r="Q222" i="1"/>
  <c r="R222" i="1"/>
  <c r="Q223" i="1"/>
  <c r="Q224" i="1"/>
  <c r="Q225" i="1"/>
  <c r="Q226" i="1"/>
  <c r="R226" i="1"/>
  <c r="S226" i="1"/>
  <c r="Q227" i="1"/>
  <c r="Q228" i="1"/>
  <c r="R228" i="1"/>
  <c r="S228" i="1"/>
  <c r="Q229" i="1"/>
  <c r="R229" i="1"/>
  <c r="S229" i="1"/>
  <c r="Q230" i="1"/>
  <c r="R230" i="1"/>
  <c r="Q231" i="1"/>
  <c r="Q232" i="1"/>
  <c r="R232" i="1"/>
  <c r="Q233" i="1"/>
  <c r="R233" i="1"/>
  <c r="S233" i="1"/>
  <c r="Q234" i="1"/>
  <c r="Q235" i="1"/>
  <c r="Q236" i="1"/>
  <c r="R236" i="1"/>
  <c r="Q237" i="1"/>
  <c r="R237" i="1"/>
  <c r="S237" i="1"/>
  <c r="Q238" i="1"/>
  <c r="R238" i="1"/>
  <c r="Q239" i="1"/>
  <c r="R239" i="1"/>
  <c r="S239" i="1"/>
  <c r="Q240" i="1"/>
  <c r="Q241" i="1"/>
  <c r="Q242" i="1"/>
  <c r="Q243" i="1"/>
  <c r="R243" i="1"/>
  <c r="S243" i="1"/>
  <c r="Q244" i="1"/>
  <c r="R244" i="1"/>
  <c r="Q245" i="1"/>
  <c r="Q246" i="1"/>
  <c r="Q247" i="1"/>
  <c r="R247" i="1"/>
  <c r="Q248" i="1"/>
  <c r="Q249" i="1"/>
  <c r="R249" i="1"/>
  <c r="S249" i="1"/>
  <c r="Q250" i="1"/>
  <c r="Q251" i="1"/>
  <c r="Q252" i="1"/>
  <c r="Q253" i="1"/>
  <c r="R253" i="1"/>
  <c r="Q254" i="1"/>
  <c r="Q255" i="1"/>
  <c r="Q256" i="1"/>
  <c r="Q257" i="1"/>
  <c r="Q258" i="1"/>
  <c r="Q259" i="1"/>
  <c r="R259" i="1"/>
  <c r="Q260" i="1"/>
  <c r="Q261" i="1"/>
  <c r="Q262" i="1"/>
  <c r="Q263" i="1"/>
  <c r="Q264" i="1"/>
  <c r="Q265" i="1"/>
  <c r="Q266" i="1"/>
  <c r="R266" i="1"/>
  <c r="Q267" i="1"/>
  <c r="Q268" i="1"/>
  <c r="Q269" i="1"/>
  <c r="R269" i="1"/>
  <c r="S269" i="1"/>
  <c r="Q270" i="1"/>
  <c r="R270" i="1"/>
  <c r="S270" i="1"/>
  <c r="Q271" i="1"/>
  <c r="Q272" i="1"/>
  <c r="Q273" i="1"/>
  <c r="Q274" i="1"/>
  <c r="Q275" i="1"/>
  <c r="R275" i="1"/>
  <c r="Q276" i="1"/>
  <c r="Q277" i="1"/>
  <c r="Q278" i="1"/>
  <c r="Q279" i="1"/>
  <c r="Q280" i="1"/>
  <c r="Q281" i="1"/>
  <c r="Q282" i="1"/>
  <c r="Q283" i="1"/>
  <c r="R283" i="1"/>
  <c r="S283" i="1"/>
  <c r="Q284" i="1"/>
  <c r="R284" i="1"/>
  <c r="Q285" i="1"/>
  <c r="Q286" i="1"/>
  <c r="Q287" i="1"/>
  <c r="R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R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R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R331" i="1"/>
  <c r="Q332" i="1"/>
  <c r="Q333" i="1"/>
  <c r="Q334" i="1"/>
  <c r="R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R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R365" i="1"/>
  <c r="Q366" i="1"/>
  <c r="Q367" i="1"/>
  <c r="Q368" i="1"/>
  <c r="Q369" i="1"/>
  <c r="Q370" i="1"/>
  <c r="Q371" i="1"/>
  <c r="Q372" i="1"/>
  <c r="Q373" i="1"/>
  <c r="Q374" i="1"/>
  <c r="Q375" i="1"/>
  <c r="Q376" i="1"/>
  <c r="R376" i="1"/>
  <c r="Q377" i="1"/>
  <c r="Q378" i="1"/>
  <c r="Q379" i="1"/>
  <c r="R379" i="1"/>
  <c r="Q380" i="1"/>
  <c r="Q381" i="1"/>
  <c r="R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R403" i="1"/>
  <c r="Q404" i="1"/>
  <c r="Q405" i="1"/>
  <c r="Q406" i="1"/>
  <c r="Q407" i="1"/>
  <c r="R407" i="1"/>
  <c r="Q408" i="1"/>
  <c r="R408" i="1"/>
  <c r="S408" i="1"/>
  <c r="Q409" i="1"/>
  <c r="Q410" i="1"/>
  <c r="Q411" i="1"/>
  <c r="Q412" i="1"/>
  <c r="Q413" i="1"/>
  <c r="Q414" i="1"/>
  <c r="Q415" i="1"/>
  <c r="R415" i="1"/>
  <c r="S415" i="1"/>
  <c r="Q416" i="1"/>
  <c r="Q417" i="1"/>
  <c r="Q418" i="1"/>
  <c r="Q419" i="1"/>
  <c r="Q420" i="1"/>
  <c r="R420" i="1"/>
  <c r="Q421" i="1"/>
  <c r="Q422" i="1"/>
  <c r="Q423" i="1"/>
  <c r="R423" i="1"/>
  <c r="Q424" i="1"/>
  <c r="Q425" i="1"/>
  <c r="Q426" i="1"/>
  <c r="Q427" i="1"/>
  <c r="R427" i="1"/>
  <c r="S427" i="1"/>
  <c r="Q428" i="1"/>
  <c r="R428" i="1"/>
  <c r="Q429" i="1"/>
  <c r="Q430" i="1"/>
  <c r="Q431" i="1"/>
  <c r="Q432" i="1"/>
  <c r="R432" i="1"/>
  <c r="Q433" i="1"/>
  <c r="Q434" i="1"/>
  <c r="Q435" i="1"/>
  <c r="Q436" i="1"/>
  <c r="Q437" i="1"/>
  <c r="Q438" i="1"/>
  <c r="Q439" i="1"/>
  <c r="Q440" i="1"/>
  <c r="Q441" i="1"/>
  <c r="Q442" i="1"/>
  <c r="Q443" i="1"/>
  <c r="R443" i="1"/>
  <c r="Q444" i="1"/>
  <c r="Q445" i="1"/>
  <c r="Q446" i="1"/>
  <c r="Q447" i="1"/>
  <c r="Q448" i="1"/>
  <c r="Q449" i="1"/>
  <c r="Q450" i="1"/>
  <c r="Q451" i="1"/>
  <c r="R451" i="1"/>
  <c r="Q452" i="1"/>
  <c r="Q453" i="1"/>
  <c r="Q454" i="1"/>
  <c r="Q455" i="1"/>
  <c r="Q456" i="1"/>
  <c r="R456" i="1"/>
  <c r="Q457" i="1"/>
  <c r="Q458" i="1"/>
  <c r="Q459" i="1"/>
  <c r="Q460" i="1"/>
  <c r="Q461" i="1"/>
  <c r="Q462" i="1"/>
  <c r="R462" i="1"/>
  <c r="Q463" i="1"/>
  <c r="R463" i="1"/>
  <c r="Q464" i="1"/>
  <c r="R464" i="1"/>
  <c r="Q465" i="1"/>
  <c r="R465" i="1"/>
  <c r="Q466" i="1"/>
  <c r="Q467" i="1"/>
  <c r="R467" i="1"/>
  <c r="Q468" i="1"/>
  <c r="Q469" i="1"/>
  <c r="Q470" i="1"/>
  <c r="Q471" i="1"/>
  <c r="R471" i="1"/>
  <c r="Q472" i="1"/>
  <c r="Q473" i="1"/>
  <c r="Q474" i="1"/>
  <c r="Q475" i="1"/>
  <c r="Q476" i="1"/>
  <c r="Q477" i="1"/>
  <c r="Q478" i="1"/>
  <c r="Q479" i="1"/>
  <c r="Q480" i="1"/>
  <c r="R480" i="1"/>
  <c r="Q481" i="1"/>
  <c r="R481" i="1"/>
  <c r="S481" i="1"/>
  <c r="Q482" i="1"/>
  <c r="Q483" i="1"/>
  <c r="Q484" i="1"/>
  <c r="R484" i="1"/>
  <c r="Q485" i="1"/>
  <c r="Q486" i="1"/>
  <c r="Q487" i="1"/>
  <c r="R487" i="1"/>
  <c r="Q488" i="1"/>
  <c r="R488" i="1"/>
  <c r="Q489" i="1"/>
  <c r="Q490" i="1"/>
  <c r="Q491" i="1"/>
  <c r="R491" i="1"/>
  <c r="Q492" i="1"/>
  <c r="Q493" i="1"/>
  <c r="R493" i="1"/>
  <c r="Q494" i="1"/>
  <c r="R494" i="1"/>
  <c r="Q495" i="1"/>
  <c r="R495" i="1"/>
  <c r="Q496" i="1"/>
  <c r="R496" i="1"/>
  <c r="Q497" i="1"/>
  <c r="R497" i="1"/>
  <c r="Q498" i="1"/>
  <c r="Q499" i="1"/>
  <c r="Q500" i="1"/>
  <c r="Q501" i="1"/>
  <c r="R501" i="1"/>
  <c r="Q502" i="1"/>
  <c r="R502" i="1"/>
  <c r="S502" i="1"/>
  <c r="Q503" i="1"/>
  <c r="R503" i="1"/>
  <c r="Q504" i="1"/>
  <c r="R504" i="1"/>
  <c r="Q505" i="1"/>
  <c r="R505" i="1"/>
  <c r="S505" i="1"/>
  <c r="Q506" i="1"/>
  <c r="R506" i="1"/>
  <c r="Q507" i="1"/>
  <c r="Q508" i="1"/>
  <c r="R508" i="1"/>
  <c r="S508" i="1"/>
  <c r="Q509" i="1"/>
  <c r="R509" i="1"/>
  <c r="Q510" i="1"/>
  <c r="R510" i="1"/>
  <c r="S510" i="1"/>
  <c r="Q511" i="1"/>
  <c r="R511" i="1"/>
  <c r="S511" i="1"/>
  <c r="Q512" i="1"/>
  <c r="R512" i="1"/>
  <c r="S512" i="1"/>
  <c r="Q513" i="1"/>
  <c r="Q514" i="1"/>
  <c r="R514" i="1"/>
  <c r="S514" i="1"/>
  <c r="Q515" i="1"/>
  <c r="R515" i="1"/>
  <c r="Q516" i="1"/>
  <c r="Q517" i="1"/>
  <c r="Q518" i="1"/>
  <c r="R518" i="1"/>
  <c r="Q519" i="1"/>
  <c r="R519" i="1"/>
  <c r="Q520" i="1"/>
  <c r="R520" i="1"/>
  <c r="Q521" i="1"/>
  <c r="R521" i="1"/>
  <c r="S521" i="1"/>
  <c r="Q522" i="1"/>
  <c r="Q523" i="1"/>
  <c r="R523" i="1"/>
  <c r="S523" i="1"/>
  <c r="Q524" i="1"/>
  <c r="R524" i="1"/>
  <c r="S524" i="1"/>
  <c r="Q525" i="1"/>
  <c r="R525" i="1"/>
  <c r="S525" i="1"/>
  <c r="Q526" i="1"/>
  <c r="Q527" i="1"/>
  <c r="R527" i="1"/>
  <c r="Q528" i="1"/>
  <c r="R528" i="1"/>
  <c r="S528" i="1"/>
  <c r="Q529" i="1"/>
  <c r="Q530" i="1"/>
  <c r="Q531" i="1"/>
  <c r="R531" i="1"/>
  <c r="Q532" i="1"/>
  <c r="R532" i="1"/>
  <c r="S532" i="1"/>
  <c r="Q533" i="1"/>
  <c r="Q534" i="1"/>
  <c r="R534" i="1"/>
  <c r="Q535" i="1"/>
  <c r="R535" i="1"/>
  <c r="Q536" i="1"/>
  <c r="R536" i="1"/>
  <c r="S536" i="1"/>
  <c r="Q537" i="1"/>
  <c r="R537" i="1"/>
  <c r="S537" i="1"/>
  <c r="Q538" i="1"/>
  <c r="R538" i="1"/>
  <c r="S538" i="1"/>
  <c r="Q539" i="1"/>
  <c r="R539" i="1"/>
  <c r="Q540" i="1"/>
  <c r="Q541" i="1"/>
  <c r="Q542" i="1"/>
  <c r="Q543" i="1"/>
  <c r="Q544" i="1"/>
  <c r="R544" i="1"/>
  <c r="Q545" i="1"/>
  <c r="Q546" i="1"/>
  <c r="Q547" i="1"/>
  <c r="Q548" i="1"/>
  <c r="Q549" i="1"/>
  <c r="Q550" i="1"/>
  <c r="Q551" i="1"/>
  <c r="Q552" i="1"/>
  <c r="R552" i="1"/>
  <c r="Q553" i="1"/>
  <c r="Q554" i="1"/>
  <c r="R554" i="1"/>
  <c r="S554" i="1"/>
  <c r="Q555" i="1"/>
  <c r="Q556" i="1"/>
  <c r="R556" i="1"/>
  <c r="S556" i="1"/>
  <c r="Q557" i="1"/>
  <c r="Q558" i="1"/>
  <c r="R558" i="1"/>
  <c r="S558" i="1"/>
  <c r="Q559" i="1"/>
  <c r="R559" i="1"/>
  <c r="Q560" i="1"/>
  <c r="Q561" i="1"/>
  <c r="Q562" i="1"/>
  <c r="Q563" i="1"/>
  <c r="Q564" i="1"/>
  <c r="Q565" i="1"/>
  <c r="Q566" i="1"/>
  <c r="Q567" i="1"/>
  <c r="Q568" i="1"/>
  <c r="Q569" i="1"/>
  <c r="R569" i="1"/>
  <c r="Q570" i="1"/>
  <c r="R570" i="1"/>
  <c r="Q571" i="1"/>
  <c r="Q572" i="1"/>
  <c r="Q573" i="1"/>
  <c r="R573" i="1"/>
  <c r="S573" i="1"/>
  <c r="Q574" i="1"/>
  <c r="Q575" i="1"/>
  <c r="Q576" i="1"/>
  <c r="R576" i="1"/>
  <c r="Q577" i="1"/>
  <c r="Q578" i="1"/>
  <c r="R578" i="1"/>
  <c r="Q579" i="1"/>
  <c r="R579" i="1"/>
  <c r="S579" i="1"/>
  <c r="Q580" i="1"/>
  <c r="R580" i="1"/>
  <c r="S580" i="1"/>
  <c r="Q581" i="1"/>
  <c r="Q582" i="1"/>
  <c r="R582" i="1"/>
  <c r="Q583" i="1"/>
  <c r="R583" i="1"/>
  <c r="S583" i="1"/>
  <c r="Q584" i="1"/>
  <c r="R584" i="1"/>
  <c r="S584" i="1"/>
  <c r="Q585" i="1"/>
  <c r="R585" i="1"/>
  <c r="Q586" i="1"/>
  <c r="R586" i="1"/>
  <c r="S586" i="1"/>
  <c r="Q587" i="1"/>
  <c r="Q588" i="1"/>
  <c r="Q589" i="1"/>
  <c r="R589" i="1"/>
  <c r="Q590" i="1"/>
  <c r="Q591" i="1"/>
  <c r="R591" i="1"/>
  <c r="Q592" i="1"/>
  <c r="Q593" i="1"/>
  <c r="R593" i="1"/>
  <c r="Q594" i="1"/>
  <c r="R594" i="1"/>
  <c r="Q595" i="1"/>
  <c r="Q596" i="1"/>
  <c r="Q597" i="1"/>
  <c r="R597" i="1"/>
  <c r="S597" i="1"/>
  <c r="Q598" i="1"/>
  <c r="Q599" i="1"/>
  <c r="R599" i="1"/>
  <c r="Q600" i="1"/>
  <c r="Q601" i="1"/>
  <c r="R601" i="1"/>
  <c r="Q602" i="1"/>
  <c r="Q603" i="1"/>
  <c r="R603" i="1"/>
  <c r="Q604" i="1"/>
  <c r="Q605" i="1"/>
  <c r="Q606" i="1"/>
  <c r="Q607" i="1"/>
  <c r="Q608" i="1"/>
  <c r="R608" i="1"/>
  <c r="Q609" i="1"/>
  <c r="R609" i="1"/>
  <c r="Q610" i="1"/>
  <c r="Q611" i="1"/>
  <c r="Q612" i="1"/>
  <c r="Q613" i="1"/>
  <c r="Q614" i="1"/>
  <c r="Q615" i="1"/>
  <c r="Q616" i="1"/>
  <c r="R616" i="1"/>
  <c r="Q617" i="1"/>
  <c r="Q618" i="1"/>
  <c r="R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R634" i="1"/>
  <c r="Q635" i="1"/>
  <c r="Q636" i="1"/>
  <c r="Q637" i="1"/>
  <c r="R637" i="1"/>
  <c r="S637" i="1"/>
  <c r="Q638" i="1"/>
  <c r="Q639" i="1"/>
  <c r="R639" i="1"/>
  <c r="Q640" i="1"/>
  <c r="R640" i="1"/>
  <c r="S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R658" i="1"/>
  <c r="Q659" i="1"/>
  <c r="Q660" i="1"/>
  <c r="Q661" i="1"/>
  <c r="Q662" i="1"/>
  <c r="R662" i="1"/>
  <c r="Q663" i="1"/>
  <c r="R663" i="1"/>
  <c r="Q664" i="1"/>
  <c r="R664" i="1"/>
  <c r="S664" i="1"/>
  <c r="Q665" i="1"/>
  <c r="Q666" i="1"/>
  <c r="Q667" i="1"/>
  <c r="R667" i="1"/>
  <c r="S667" i="1"/>
  <c r="Q668" i="1"/>
  <c r="R668" i="1"/>
  <c r="S668" i="1"/>
  <c r="Q669" i="1"/>
  <c r="R669" i="1"/>
  <c r="Q670" i="1"/>
  <c r="R670" i="1"/>
  <c r="Q671" i="1"/>
  <c r="Q672" i="1"/>
  <c r="R672" i="1"/>
  <c r="Q673" i="1"/>
  <c r="Q674" i="1"/>
  <c r="Q675" i="1"/>
  <c r="R675" i="1"/>
  <c r="Q676" i="1"/>
  <c r="Q677" i="1"/>
  <c r="R677" i="1"/>
  <c r="S677" i="1"/>
  <c r="Q678" i="1"/>
  <c r="Q679" i="1"/>
  <c r="R679" i="1"/>
  <c r="Q680" i="1"/>
  <c r="R680" i="1"/>
  <c r="S680" i="1"/>
  <c r="Q681" i="1"/>
  <c r="R681" i="1"/>
  <c r="S681" i="1"/>
  <c r="Q682" i="1"/>
  <c r="R682" i="1"/>
  <c r="Q683" i="1"/>
  <c r="Q684" i="1"/>
  <c r="Q685" i="1"/>
  <c r="Q686" i="1"/>
  <c r="Q687" i="1"/>
  <c r="Q688" i="1"/>
  <c r="Q689" i="1"/>
  <c r="Q690" i="1"/>
  <c r="Q691" i="1"/>
  <c r="R691" i="1"/>
  <c r="S691" i="1"/>
  <c r="Q692" i="1"/>
  <c r="Q693" i="1"/>
  <c r="Q694" i="1"/>
  <c r="R694" i="1"/>
  <c r="S694" i="1"/>
  <c r="Q695" i="1"/>
  <c r="Q696" i="1"/>
  <c r="Q697" i="1"/>
  <c r="Q698" i="1"/>
  <c r="Q699" i="1"/>
  <c r="Q700" i="1"/>
  <c r="Q701" i="1"/>
  <c r="R701" i="1"/>
  <c r="Q702" i="1"/>
  <c r="R702" i="1"/>
  <c r="Q703" i="1"/>
  <c r="Q704" i="1"/>
  <c r="R704" i="1"/>
  <c r="Q705" i="1"/>
  <c r="Q706" i="1"/>
  <c r="Q707" i="1"/>
  <c r="Q708" i="1"/>
  <c r="Q709" i="1"/>
  <c r="Q710" i="1"/>
  <c r="R710" i="1"/>
  <c r="S710" i="1"/>
  <c r="Q711" i="1"/>
  <c r="Q712" i="1"/>
  <c r="Q713" i="1"/>
  <c r="Q714" i="1"/>
  <c r="Q715" i="1"/>
  <c r="R715" i="1"/>
  <c r="Q716" i="1"/>
  <c r="Q717" i="1"/>
  <c r="Q718" i="1"/>
  <c r="Q719" i="1"/>
  <c r="R719" i="1"/>
  <c r="S719" i="1"/>
  <c r="Q720" i="1"/>
  <c r="Q721" i="1"/>
  <c r="Q722" i="1"/>
  <c r="R722" i="1"/>
  <c r="Q723" i="1"/>
  <c r="Q724" i="1"/>
  <c r="Q725" i="1"/>
  <c r="R725" i="1"/>
  <c r="S725" i="1"/>
  <c r="Q726" i="1"/>
  <c r="Q727" i="1"/>
  <c r="R727" i="1"/>
  <c r="Q728" i="1"/>
  <c r="Q729" i="1"/>
  <c r="Q730" i="1"/>
  <c r="Q731" i="1"/>
  <c r="Q732" i="1"/>
  <c r="Q733" i="1"/>
  <c r="Q734" i="1"/>
  <c r="Q735" i="1"/>
  <c r="R735" i="1"/>
  <c r="Q736" i="1"/>
  <c r="Q737" i="1"/>
  <c r="Q738" i="1"/>
  <c r="Q739" i="1"/>
  <c r="R739" i="1"/>
  <c r="Q740" i="1"/>
  <c r="R740" i="1"/>
  <c r="Q741" i="1"/>
  <c r="R741" i="1"/>
  <c r="Q742" i="1"/>
  <c r="R742" i="1"/>
  <c r="Q743" i="1"/>
  <c r="R743" i="1"/>
  <c r="Q744" i="1"/>
  <c r="Q745" i="1"/>
  <c r="R745" i="1"/>
  <c r="Q746" i="1"/>
  <c r="Q747" i="1"/>
  <c r="Q748" i="1"/>
  <c r="Q749" i="1"/>
  <c r="R749" i="1"/>
  <c r="Q750" i="1"/>
  <c r="R750" i="1"/>
  <c r="S750" i="1"/>
  <c r="Q751" i="1"/>
  <c r="Q752" i="1"/>
  <c r="Q753" i="1"/>
  <c r="Q754" i="1"/>
  <c r="Q755" i="1"/>
  <c r="Q756" i="1"/>
  <c r="Q757" i="1"/>
  <c r="Q758" i="1"/>
  <c r="R758" i="1"/>
  <c r="Q759" i="1"/>
  <c r="Q760" i="1"/>
  <c r="Q761" i="1"/>
  <c r="Q762" i="1"/>
  <c r="R762" i="1"/>
  <c r="Q763" i="1"/>
  <c r="Q764" i="1"/>
  <c r="Q765" i="1"/>
  <c r="Q766" i="1"/>
  <c r="Q767" i="1"/>
  <c r="Q768" i="1"/>
  <c r="Q769" i="1"/>
  <c r="Q770" i="1"/>
  <c r="R770" i="1"/>
  <c r="S770" i="1"/>
  <c r="Q771" i="1"/>
  <c r="Q772" i="1"/>
  <c r="Q773" i="1"/>
  <c r="R773" i="1"/>
  <c r="Q774" i="1"/>
  <c r="Q775" i="1"/>
  <c r="Q776" i="1"/>
  <c r="Q777" i="1"/>
  <c r="Q778" i="1"/>
  <c r="Q779" i="1"/>
  <c r="Q780" i="1"/>
  <c r="Q781" i="1"/>
  <c r="Q782" i="1"/>
  <c r="Q783" i="1"/>
  <c r="Q784" i="1"/>
  <c r="R784" i="1"/>
  <c r="Q785" i="1"/>
  <c r="Q786" i="1"/>
  <c r="Q787" i="1"/>
  <c r="Q788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2" i="1"/>
  <c r="R340" i="1" l="1"/>
  <c r="R176" i="1"/>
  <c r="R566" i="1"/>
  <c r="S570" i="1"/>
  <c r="R614" i="1"/>
  <c r="R22" i="1"/>
  <c r="S22" i="1" s="1"/>
  <c r="S25" i="1"/>
  <c r="R27" i="1"/>
  <c r="S27" i="1" s="1"/>
  <c r="R29" i="1"/>
  <c r="S29" i="1" s="1"/>
  <c r="R70" i="1"/>
  <c r="S70" i="1" s="1"/>
  <c r="S74" i="1"/>
  <c r="R52" i="1"/>
  <c r="R615" i="1"/>
  <c r="R644" i="1"/>
  <c r="S644" i="1" s="1"/>
  <c r="R645" i="1"/>
  <c r="R649" i="1"/>
  <c r="R650" i="1"/>
  <c r="R140" i="1"/>
  <c r="S154" i="1"/>
  <c r="R174" i="1"/>
  <c r="S174" i="1" s="1"/>
  <c r="S176" i="1"/>
  <c r="R192" i="1"/>
  <c r="S192" i="1" s="1"/>
  <c r="S201" i="1"/>
  <c r="R345" i="1"/>
  <c r="R399" i="1"/>
  <c r="R499" i="1"/>
  <c r="R612" i="1"/>
  <c r="R617" i="1"/>
  <c r="R619" i="1"/>
  <c r="R631" i="1"/>
  <c r="R643" i="1"/>
  <c r="R647" i="1"/>
  <c r="S647" i="1" s="1"/>
  <c r="R158" i="1"/>
  <c r="R167" i="1"/>
  <c r="S167" i="1" s="1"/>
  <c r="R170" i="1"/>
  <c r="S170" i="1" s="1"/>
  <c r="R178" i="1"/>
  <c r="R182" i="1"/>
  <c r="S197" i="1"/>
  <c r="R571" i="1"/>
  <c r="S571" i="1" s="1"/>
  <c r="R102" i="1"/>
  <c r="S102" i="1" s="1"/>
  <c r="S103" i="1"/>
  <c r="R107" i="1"/>
  <c r="R131" i="1"/>
  <c r="R152" i="1"/>
  <c r="S188" i="1"/>
  <c r="R200" i="1"/>
  <c r="S200" i="1" s="1"/>
  <c r="R397" i="1"/>
  <c r="S397" i="1" s="1"/>
  <c r="S742" i="1"/>
  <c r="R783" i="1"/>
  <c r="S783" i="1" s="1"/>
  <c r="R118" i="1"/>
  <c r="R119" i="1"/>
  <c r="S119" i="1" s="1"/>
  <c r="R173" i="1"/>
  <c r="S173" i="1" s="1"/>
  <c r="R198" i="1"/>
  <c r="S198" i="1" s="1"/>
  <c r="R368" i="1"/>
  <c r="S33" i="1"/>
  <c r="R38" i="1"/>
  <c r="S38" i="1" s="1"/>
  <c r="S39" i="1"/>
  <c r="R42" i="1"/>
  <c r="S42" i="1" s="1"/>
  <c r="R45" i="1"/>
  <c r="R47" i="1"/>
  <c r="S47" i="1" s="1"/>
  <c r="R71" i="1"/>
  <c r="S71" i="1" s="1"/>
  <c r="R76" i="1"/>
  <c r="R81" i="1"/>
  <c r="R86" i="1"/>
  <c r="R88" i="1"/>
  <c r="S91" i="1"/>
  <c r="R100" i="1"/>
  <c r="R115" i="1"/>
  <c r="R116" i="1"/>
  <c r="R117" i="1"/>
  <c r="R134" i="1"/>
  <c r="S134" i="1" s="1"/>
  <c r="R195" i="1"/>
  <c r="S195" i="1" s="1"/>
  <c r="R3" i="1"/>
  <c r="S3" i="1" s="1"/>
  <c r="R7" i="1"/>
  <c r="S7" i="1" s="1"/>
  <c r="R11" i="1"/>
  <c r="S11" i="1" s="1"/>
  <c r="R13" i="1"/>
  <c r="S13" i="1" s="1"/>
  <c r="S17" i="1"/>
  <c r="S20" i="1"/>
  <c r="R30" i="1"/>
  <c r="S30" i="1" s="1"/>
  <c r="S31" i="1"/>
  <c r="R35" i="1"/>
  <c r="S35" i="1" s="1"/>
  <c r="R36" i="1"/>
  <c r="S36" i="1" s="1"/>
  <c r="R37" i="1"/>
  <c r="S37" i="1" s="1"/>
  <c r="R72" i="1"/>
  <c r="S72" i="1" s="1"/>
  <c r="R89" i="1"/>
  <c r="S89" i="1" s="1"/>
  <c r="S95" i="1"/>
  <c r="S99" i="1"/>
  <c r="R151" i="1"/>
  <c r="S190" i="1"/>
  <c r="R395" i="1"/>
  <c r="R4" i="1"/>
  <c r="S4" i="1" s="1"/>
  <c r="S6" i="1"/>
  <c r="R8" i="1"/>
  <c r="S8" i="1" s="1"/>
  <c r="R9" i="1"/>
  <c r="S9" i="1" s="1"/>
  <c r="R10" i="1"/>
  <c r="S10" i="1" s="1"/>
  <c r="R12" i="1"/>
  <c r="S12" i="1" s="1"/>
  <c r="S15" i="1"/>
  <c r="R18" i="1"/>
  <c r="S18" i="1" s="1"/>
  <c r="R19" i="1"/>
  <c r="S19" i="1" s="1"/>
  <c r="R23" i="1"/>
  <c r="S23" i="1" s="1"/>
  <c r="S24" i="1"/>
  <c r="R26" i="1"/>
  <c r="S26" i="1" s="1"/>
  <c r="R32" i="1"/>
  <c r="S32" i="1" s="1"/>
  <c r="R67" i="1"/>
  <c r="S67" i="1" s="1"/>
  <c r="R85" i="1"/>
  <c r="R93" i="1"/>
  <c r="S93" i="1" s="1"/>
  <c r="R132" i="1"/>
  <c r="S132" i="1" s="1"/>
  <c r="S156" i="1"/>
  <c r="R171" i="1"/>
  <c r="S171" i="1" s="1"/>
  <c r="R194" i="1"/>
  <c r="S194" i="1" s="1"/>
  <c r="R5" i="1"/>
  <c r="S5" i="1" s="1"/>
  <c r="R53" i="1"/>
  <c r="S53" i="1" s="1"/>
  <c r="R94" i="1"/>
  <c r="S94" i="1" s="1"/>
  <c r="R128" i="1"/>
  <c r="S128" i="1" s="1"/>
  <c r="R278" i="1"/>
  <c r="S278" i="1" s="1"/>
  <c r="S495" i="1"/>
  <c r="R607" i="1"/>
  <c r="R629" i="1"/>
  <c r="S629" i="1" s="1"/>
  <c r="R648" i="1"/>
  <c r="S648" i="1" s="1"/>
  <c r="R695" i="1"/>
  <c r="S695" i="1" s="1"/>
  <c r="R699" i="1"/>
  <c r="S699" i="1" s="1"/>
  <c r="S735" i="1"/>
  <c r="R747" i="1"/>
  <c r="S762" i="1"/>
  <c r="R765" i="1"/>
  <c r="R246" i="1"/>
  <c r="R248" i="1"/>
  <c r="R256" i="1"/>
  <c r="R263" i="1"/>
  <c r="R267" i="1"/>
  <c r="R271" i="1"/>
  <c r="S271" i="1" s="1"/>
  <c r="S287" i="1"/>
  <c r="R290" i="1"/>
  <c r="S290" i="1" s="1"/>
  <c r="R293" i="1"/>
  <c r="R308" i="1"/>
  <c r="R335" i="1"/>
  <c r="R352" i="1"/>
  <c r="R401" i="1"/>
  <c r="R406" i="1"/>
  <c r="R418" i="1"/>
  <c r="R429" i="1"/>
  <c r="R479" i="1"/>
  <c r="S480" i="1"/>
  <c r="R485" i="1"/>
  <c r="R489" i="1"/>
  <c r="R604" i="1"/>
  <c r="S604" i="1" s="1"/>
  <c r="S608" i="1"/>
  <c r="R635" i="1"/>
  <c r="R657" i="1"/>
  <c r="R666" i="1"/>
  <c r="R678" i="1"/>
  <c r="S678" i="1" s="1"/>
  <c r="R746" i="1"/>
  <c r="R757" i="1"/>
  <c r="R759" i="1"/>
  <c r="S759" i="1" s="1"/>
  <c r="R788" i="1"/>
  <c r="S788" i="1" s="1"/>
  <c r="R235" i="1"/>
  <c r="S235" i="1" s="1"/>
  <c r="R242" i="1"/>
  <c r="S242" i="1" s="1"/>
  <c r="R261" i="1"/>
  <c r="R272" i="1"/>
  <c r="S275" i="1"/>
  <c r="R280" i="1"/>
  <c r="S280" i="1" s="1"/>
  <c r="R291" i="1"/>
  <c r="S291" i="1" s="1"/>
  <c r="R312" i="1"/>
  <c r="S312" i="1" s="1"/>
  <c r="R413" i="1"/>
  <c r="R434" i="1"/>
  <c r="S434" i="1" s="1"/>
  <c r="R469" i="1"/>
  <c r="S594" i="1"/>
  <c r="R600" i="1"/>
  <c r="S600" i="1" s="1"/>
  <c r="R706" i="1"/>
  <c r="R709" i="1"/>
  <c r="S709" i="1" s="1"/>
  <c r="R734" i="1"/>
  <c r="R295" i="1"/>
  <c r="R492" i="1"/>
  <c r="R626" i="1"/>
  <c r="S626" i="1" s="1"/>
  <c r="S420" i="1"/>
  <c r="R437" i="1"/>
  <c r="S437" i="1" s="1"/>
  <c r="R439" i="1"/>
  <c r="R441" i="1"/>
  <c r="S601" i="1"/>
  <c r="R656" i="1"/>
  <c r="S656" i="1" s="1"/>
  <c r="R671" i="1"/>
  <c r="S679" i="1"/>
  <c r="R698" i="1"/>
  <c r="R708" i="1"/>
  <c r="S708" i="1" s="1"/>
  <c r="S758" i="1"/>
  <c r="S496" i="1"/>
  <c r="R652" i="1"/>
  <c r="R718" i="1"/>
  <c r="R731" i="1"/>
  <c r="S731" i="1" s="1"/>
  <c r="R251" i="1"/>
  <c r="S142" i="1"/>
  <c r="R143" i="1"/>
  <c r="R149" i="1"/>
  <c r="R164" i="1"/>
  <c r="S164" i="1" s="1"/>
  <c r="S169" i="1"/>
  <c r="R172" i="1"/>
  <c r="S172" i="1" s="1"/>
  <c r="R183" i="1"/>
  <c r="S183" i="1" s="1"/>
  <c r="R187" i="1"/>
  <c r="S187" i="1" s="1"/>
  <c r="S191" i="1"/>
  <c r="R196" i="1"/>
  <c r="S196" i="1" s="1"/>
  <c r="S213" i="1"/>
  <c r="R215" i="1"/>
  <c r="S215" i="1" s="1"/>
  <c r="R220" i="1"/>
  <c r="S220" i="1" s="1"/>
  <c r="R224" i="1"/>
  <c r="S224" i="1" s="1"/>
  <c r="R250" i="1"/>
  <c r="S250" i="1" s="1"/>
  <c r="R285" i="1"/>
  <c r="S285" i="1" s="1"/>
  <c r="R332" i="1"/>
  <c r="S332" i="1" s="1"/>
  <c r="R337" i="1"/>
  <c r="R372" i="1"/>
  <c r="S180" i="1"/>
  <c r="S182" i="1"/>
  <c r="R189" i="1"/>
  <c r="S189" i="1" s="1"/>
  <c r="R193" i="1"/>
  <c r="S193" i="1" s="1"/>
  <c r="S202" i="1"/>
  <c r="R208" i="1"/>
  <c r="S208" i="1" s="1"/>
  <c r="R214" i="1"/>
  <c r="S214" i="1" s="1"/>
  <c r="R227" i="1"/>
  <c r="S227" i="1" s="1"/>
  <c r="S232" i="1"/>
  <c r="R260" i="1"/>
  <c r="S260" i="1" s="1"/>
  <c r="S266" i="1"/>
  <c r="S267" i="1"/>
  <c r="R292" i="1"/>
  <c r="S292" i="1" s="1"/>
  <c r="R296" i="1"/>
  <c r="S299" i="1"/>
  <c r="R301" i="1"/>
  <c r="S301" i="1" s="1"/>
  <c r="R306" i="1"/>
  <c r="S306" i="1" s="1"/>
  <c r="R314" i="1"/>
  <c r="R315" i="1"/>
  <c r="R324" i="1"/>
  <c r="R330" i="1"/>
  <c r="R356" i="1"/>
  <c r="S356" i="1" s="1"/>
  <c r="R380" i="1"/>
  <c r="S381" i="1"/>
  <c r="R605" i="1"/>
  <c r="S605" i="1" s="1"/>
  <c r="S616" i="1"/>
  <c r="S618" i="1"/>
  <c r="S619" i="1"/>
  <c r="R630" i="1"/>
  <c r="S631" i="1"/>
  <c r="S639" i="1"/>
  <c r="R660" i="1"/>
  <c r="S660" i="1" s="1"/>
  <c r="S672" i="1"/>
  <c r="R674" i="1"/>
  <c r="S674" i="1" s="1"/>
  <c r="S675" i="1"/>
  <c r="R686" i="1"/>
  <c r="S686" i="1" s="1"/>
  <c r="R688" i="1"/>
  <c r="S688" i="1" s="1"/>
  <c r="R690" i="1"/>
  <c r="S690" i="1" s="1"/>
  <c r="R692" i="1"/>
  <c r="S692" i="1" s="1"/>
  <c r="R703" i="1"/>
  <c r="S703" i="1" s="1"/>
  <c r="S704" i="1"/>
  <c r="R705" i="1"/>
  <c r="S705" i="1" s="1"/>
  <c r="S715" i="1"/>
  <c r="R726" i="1"/>
  <c r="S726" i="1" s="1"/>
  <c r="R730" i="1"/>
  <c r="S730" i="1" s="1"/>
  <c r="S739" i="1"/>
  <c r="S743" i="1"/>
  <c r="S746" i="1"/>
  <c r="R764" i="1"/>
  <c r="S764" i="1" s="1"/>
  <c r="R577" i="1"/>
  <c r="S593" i="1"/>
  <c r="R620" i="1"/>
  <c r="S620" i="1" s="1"/>
  <c r="R625" i="1"/>
  <c r="S634" i="1"/>
  <c r="R636" i="1"/>
  <c r="R642" i="1"/>
  <c r="S642" i="1" s="1"/>
  <c r="S649" i="1"/>
  <c r="S650" i="1"/>
  <c r="R653" i="1"/>
  <c r="S653" i="1" s="1"/>
  <c r="S663" i="1"/>
  <c r="R665" i="1"/>
  <c r="S665" i="1" s="1"/>
  <c r="S669" i="1"/>
  <c r="S671" i="1"/>
  <c r="R684" i="1"/>
  <c r="R696" i="1"/>
  <c r="S696" i="1" s="1"/>
  <c r="R700" i="1"/>
  <c r="S700" i="1" s="1"/>
  <c r="R717" i="1"/>
  <c r="S717" i="1" s="1"/>
  <c r="R723" i="1"/>
  <c r="S723" i="1" s="1"/>
  <c r="R732" i="1"/>
  <c r="S732" i="1" s="1"/>
  <c r="R733" i="1"/>
  <c r="S733" i="1" s="1"/>
  <c r="R738" i="1"/>
  <c r="S738" i="1" s="1"/>
  <c r="S741" i="1"/>
  <c r="R761" i="1"/>
  <c r="S761" i="1" s="1"/>
  <c r="S773" i="1"/>
  <c r="R786" i="1"/>
  <c r="R181" i="1"/>
  <c r="S181" i="1" s="1"/>
  <c r="S184" i="1"/>
  <c r="S272" i="1"/>
  <c r="R281" i="1"/>
  <c r="S281" i="1" s="1"/>
  <c r="R310" i="1"/>
  <c r="R321" i="1"/>
  <c r="S439" i="1"/>
  <c r="S443" i="1"/>
  <c r="R444" i="1"/>
  <c r="S444" i="1" s="1"/>
  <c r="R449" i="1"/>
  <c r="S449" i="1" s="1"/>
  <c r="R455" i="1"/>
  <c r="S455" i="1" s="1"/>
  <c r="S501" i="1"/>
  <c r="R513" i="1"/>
  <c r="S513" i="1" s="1"/>
  <c r="R517" i="1"/>
  <c r="S517" i="1" s="1"/>
  <c r="S520" i="1"/>
  <c r="R522" i="1"/>
  <c r="S522" i="1" s="1"/>
  <c r="R529" i="1"/>
  <c r="S529" i="1" s="1"/>
  <c r="R530" i="1"/>
  <c r="S530" i="1" s="1"/>
  <c r="S534" i="1"/>
  <c r="S535" i="1"/>
  <c r="R555" i="1"/>
  <c r="S555" i="1" s="1"/>
  <c r="R562" i="1"/>
  <c r="R565" i="1"/>
  <c r="R574" i="1"/>
  <c r="S578" i="1"/>
  <c r="R581" i="1"/>
  <c r="S581" i="1" s="1"/>
  <c r="S582" i="1"/>
  <c r="S591" i="1"/>
  <c r="S599" i="1"/>
  <c r="R602" i="1"/>
  <c r="S602" i="1" s="1"/>
  <c r="S607" i="1"/>
  <c r="R621" i="1"/>
  <c r="S621" i="1" s="1"/>
  <c r="R624" i="1"/>
  <c r="S624" i="1" s="1"/>
  <c r="S625" i="1"/>
  <c r="R638" i="1"/>
  <c r="S638" i="1" s="1"/>
  <c r="R646" i="1"/>
  <c r="S646" i="1" s="1"/>
  <c r="R651" i="1"/>
  <c r="S651" i="1" s="1"/>
  <c r="S657" i="1"/>
  <c r="R659" i="1"/>
  <c r="S659" i="1" s="1"/>
  <c r="S666" i="1"/>
  <c r="R685" i="1"/>
  <c r="S685" i="1" s="1"/>
  <c r="R687" i="1"/>
  <c r="S687" i="1" s="1"/>
  <c r="R716" i="1"/>
  <c r="S716" i="1" s="1"/>
  <c r="R744" i="1"/>
  <c r="S744" i="1" s="1"/>
  <c r="R754" i="1"/>
  <c r="S754" i="1" s="1"/>
  <c r="R756" i="1"/>
  <c r="S756" i="1" s="1"/>
  <c r="R768" i="1"/>
  <c r="S768" i="1" s="1"/>
  <c r="R777" i="1"/>
  <c r="R778" i="1"/>
  <c r="S778" i="1" s="1"/>
  <c r="R780" i="1"/>
  <c r="R785" i="1"/>
  <c r="R175" i="1"/>
  <c r="S175" i="1" s="1"/>
  <c r="S177" i="1"/>
  <c r="S179" i="1"/>
  <c r="R185" i="1"/>
  <c r="S185" i="1" s="1"/>
  <c r="R274" i="1"/>
  <c r="S274" i="1" s="1"/>
  <c r="R279" i="1"/>
  <c r="S279" i="1" s="1"/>
  <c r="R282" i="1"/>
  <c r="S282" i="1" s="1"/>
  <c r="S284" i="1"/>
  <c r="R286" i="1"/>
  <c r="S286" i="1" s="1"/>
  <c r="R288" i="1"/>
  <c r="S288" i="1" s="1"/>
  <c r="S316" i="1"/>
  <c r="R327" i="1"/>
  <c r="R348" i="1"/>
  <c r="R355" i="1"/>
  <c r="R402" i="1"/>
  <c r="R409" i="1"/>
  <c r="R417" i="1"/>
  <c r="R421" i="1"/>
  <c r="S423" i="1"/>
  <c r="R460" i="1"/>
  <c r="S464" i="1"/>
  <c r="R466" i="1"/>
  <c r="S471" i="1"/>
  <c r="R473" i="1"/>
  <c r="S497" i="1"/>
  <c r="R500" i="1"/>
  <c r="S500" i="1" s="1"/>
  <c r="S504" i="1"/>
  <c r="S515" i="1"/>
  <c r="R516" i="1"/>
  <c r="S516" i="1" s="1"/>
  <c r="S519" i="1"/>
  <c r="R526" i="1"/>
  <c r="S526" i="1" s="1"/>
  <c r="S527" i="1"/>
  <c r="S531" i="1"/>
  <c r="R567" i="1"/>
  <c r="S567" i="1" s="1"/>
  <c r="R588" i="1"/>
  <c r="S588" i="1" s="1"/>
  <c r="R590" i="1"/>
  <c r="S590" i="1" s="1"/>
  <c r="R592" i="1"/>
  <c r="S592" i="1" s="1"/>
  <c r="R598" i="1"/>
  <c r="S598" i="1" s="1"/>
  <c r="R628" i="1"/>
  <c r="S628" i="1" s="1"/>
  <c r="R654" i="1"/>
  <c r="S654" i="1" s="1"/>
  <c r="S670" i="1"/>
  <c r="R673" i="1"/>
  <c r="S673" i="1" s="1"/>
  <c r="R676" i="1"/>
  <c r="S676" i="1" s="1"/>
  <c r="R711" i="1"/>
  <c r="S711" i="1" s="1"/>
  <c r="R724" i="1"/>
  <c r="S724" i="1" s="1"/>
  <c r="R737" i="1"/>
  <c r="S737" i="1" s="1"/>
  <c r="R752" i="1"/>
  <c r="S752" i="1" s="1"/>
  <c r="R771" i="1"/>
  <c r="S771" i="1" s="1"/>
  <c r="R774" i="1"/>
  <c r="S774" i="1" s="1"/>
  <c r="R776" i="1"/>
  <c r="R186" i="1"/>
  <c r="S186" i="1" s="1"/>
  <c r="R289" i="1"/>
  <c r="S289" i="1" s="1"/>
  <c r="R307" i="1"/>
  <c r="R309" i="1"/>
  <c r="R323" i="1"/>
  <c r="S323" i="1" s="1"/>
  <c r="R325" i="1"/>
  <c r="R336" i="1"/>
  <c r="S336" i="1" s="1"/>
  <c r="R339" i="1"/>
  <c r="R371" i="1"/>
  <c r="S371" i="1" s="1"/>
  <c r="R398" i="1"/>
  <c r="R447" i="1"/>
  <c r="S465" i="1"/>
  <c r="R477" i="1"/>
  <c r="S477" i="1" s="1"/>
  <c r="S503" i="1"/>
  <c r="S518" i="1"/>
  <c r="R547" i="1"/>
  <c r="R551" i="1"/>
  <c r="S551" i="1" s="1"/>
  <c r="S566" i="1"/>
  <c r="S576" i="1"/>
  <c r="R587" i="1"/>
  <c r="S587" i="1" s="1"/>
  <c r="S589" i="1"/>
  <c r="R595" i="1"/>
  <c r="S595" i="1" s="1"/>
  <c r="R596" i="1"/>
  <c r="S596" i="1" s="1"/>
  <c r="R622" i="1"/>
  <c r="S622" i="1" s="1"/>
  <c r="R661" i="1"/>
  <c r="S661" i="1" s="1"/>
  <c r="S682" i="1"/>
  <c r="R713" i="1"/>
  <c r="S713" i="1" s="1"/>
  <c r="R751" i="1"/>
  <c r="S751" i="1" s="1"/>
  <c r="R753" i="1"/>
  <c r="S753" i="1" s="1"/>
  <c r="R435" i="1"/>
  <c r="S435" i="1" s="1"/>
  <c r="S451" i="1"/>
  <c r="R458" i="1"/>
  <c r="S458" i="1" s="1"/>
  <c r="R461" i="1"/>
  <c r="S461" i="1" s="1"/>
  <c r="S467" i="1"/>
  <c r="R482" i="1"/>
  <c r="R498" i="1"/>
  <c r="S498" i="1" s="1"/>
  <c r="S506" i="1"/>
  <c r="R507" i="1"/>
  <c r="S507" i="1" s="1"/>
  <c r="S509" i="1"/>
  <c r="R533" i="1"/>
  <c r="S533" i="1" s="1"/>
  <c r="S539" i="1"/>
  <c r="R542" i="1"/>
  <c r="S542" i="1" s="1"/>
  <c r="R548" i="1"/>
  <c r="S548" i="1" s="1"/>
  <c r="R553" i="1"/>
  <c r="S553" i="1" s="1"/>
  <c r="R557" i="1"/>
  <c r="S557" i="1" s="1"/>
  <c r="S569" i="1"/>
  <c r="S585" i="1"/>
  <c r="S603" i="1"/>
  <c r="R606" i="1"/>
  <c r="S606" i="1" s="1"/>
  <c r="S609" i="1"/>
  <c r="R610" i="1"/>
  <c r="S610" i="1" s="1"/>
  <c r="R613" i="1"/>
  <c r="S613" i="1" s="1"/>
  <c r="S614" i="1"/>
  <c r="R623" i="1"/>
  <c r="S623" i="1" s="1"/>
  <c r="R632" i="1"/>
  <c r="S632" i="1" s="1"/>
  <c r="R633" i="1"/>
  <c r="S633" i="1" s="1"/>
  <c r="R641" i="1"/>
  <c r="S641" i="1" s="1"/>
  <c r="R655" i="1"/>
  <c r="S655" i="1" s="1"/>
  <c r="S662" i="1"/>
  <c r="R689" i="1"/>
  <c r="S689" i="1" s="1"/>
  <c r="R693" i="1"/>
  <c r="S693" i="1" s="1"/>
  <c r="R707" i="1"/>
  <c r="S707" i="1" s="1"/>
  <c r="R712" i="1"/>
  <c r="S712" i="1" s="1"/>
  <c r="R721" i="1"/>
  <c r="S721" i="1" s="1"/>
  <c r="R728" i="1"/>
  <c r="S728" i="1" s="1"/>
  <c r="R729" i="1"/>
  <c r="S729" i="1" s="1"/>
  <c r="R748" i="1"/>
  <c r="S748" i="1" s="1"/>
  <c r="S749" i="1"/>
  <c r="R763" i="1"/>
  <c r="S763" i="1" s="1"/>
  <c r="R772" i="1"/>
  <c r="R781" i="1"/>
  <c r="R782" i="1"/>
  <c r="R611" i="1"/>
  <c r="S611" i="1" s="1"/>
  <c r="R627" i="1"/>
  <c r="S627" i="1" s="1"/>
  <c r="R683" i="1"/>
  <c r="S683" i="1" s="1"/>
  <c r="R697" i="1"/>
  <c r="S697" i="1" s="1"/>
  <c r="S701" i="1"/>
  <c r="S702" i="1"/>
  <c r="R714" i="1"/>
  <c r="S714" i="1" s="1"/>
  <c r="R720" i="1"/>
  <c r="S720" i="1" s="1"/>
  <c r="S722" i="1"/>
  <c r="S727" i="1"/>
  <c r="R736" i="1"/>
  <c r="S736" i="1" s="1"/>
  <c r="S745" i="1"/>
  <c r="R755" i="1"/>
  <c r="S755" i="1" s="1"/>
  <c r="R760" i="1"/>
  <c r="S760" i="1" s="1"/>
  <c r="R767" i="1"/>
  <c r="R207" i="1"/>
  <c r="S207" i="1" s="1"/>
  <c r="S209" i="1"/>
  <c r="R219" i="1"/>
  <c r="S219" i="1" s="1"/>
  <c r="S222" i="1"/>
  <c r="R234" i="1"/>
  <c r="S234" i="1" s="1"/>
  <c r="S238" i="1"/>
  <c r="R241" i="1"/>
  <c r="S241" i="1" s="1"/>
  <c r="R255" i="1"/>
  <c r="S255" i="1" s="1"/>
  <c r="R258" i="1"/>
  <c r="S258" i="1" s="1"/>
  <c r="S259" i="1"/>
  <c r="R264" i="1"/>
  <c r="S264" i="1" s="1"/>
  <c r="R268" i="1"/>
  <c r="S268" i="1" s="1"/>
  <c r="R276" i="1"/>
  <c r="S276" i="1" s="1"/>
  <c r="R360" i="1"/>
  <c r="R388" i="1"/>
  <c r="S388" i="1" s="1"/>
  <c r="R541" i="1"/>
  <c r="S541" i="1" s="1"/>
  <c r="R543" i="1"/>
  <c r="S543" i="1" s="1"/>
  <c r="R549" i="1"/>
  <c r="S549" i="1" s="1"/>
  <c r="S206" i="1"/>
  <c r="R212" i="1"/>
  <c r="S212" i="1" s="1"/>
  <c r="R221" i="1"/>
  <c r="S221" i="1" s="1"/>
  <c r="R223" i="1"/>
  <c r="S223" i="1" s="1"/>
  <c r="R225" i="1"/>
  <c r="S225" i="1" s="1"/>
  <c r="S230" i="1"/>
  <c r="R252" i="1"/>
  <c r="S252" i="1" s="1"/>
  <c r="S253" i="1"/>
  <c r="R254" i="1"/>
  <c r="S254" i="1" s="1"/>
  <c r="R262" i="1"/>
  <c r="S262" i="1" s="1"/>
  <c r="R265" i="1"/>
  <c r="S265" i="1" s="1"/>
  <c r="R273" i="1"/>
  <c r="S273" i="1" s="1"/>
  <c r="R277" i="1"/>
  <c r="S277" i="1" s="1"/>
  <c r="S365" i="1"/>
  <c r="R369" i="1"/>
  <c r="R385" i="1"/>
  <c r="R540" i="1"/>
  <c r="S540" i="1" s="1"/>
  <c r="R550" i="1"/>
  <c r="S550" i="1" s="1"/>
  <c r="S552" i="1"/>
  <c r="R560" i="1"/>
  <c r="S560" i="1" s="1"/>
  <c r="R561" i="1"/>
  <c r="S561" i="1" s="1"/>
  <c r="R568" i="1"/>
  <c r="S568" i="1" s="1"/>
  <c r="R204" i="1"/>
  <c r="S204" i="1" s="1"/>
  <c r="R210" i="1"/>
  <c r="S210" i="1" s="1"/>
  <c r="R217" i="1"/>
  <c r="S217" i="1" s="1"/>
  <c r="R231" i="1"/>
  <c r="S231" i="1" s="1"/>
  <c r="S236" i="1"/>
  <c r="R240" i="1"/>
  <c r="S240" i="1" s="1"/>
  <c r="S244" i="1"/>
  <c r="R245" i="1"/>
  <c r="S245" i="1" s="1"/>
  <c r="S247" i="1"/>
  <c r="R257" i="1"/>
  <c r="S257" i="1" s="1"/>
  <c r="R342" i="1"/>
  <c r="S342" i="1" s="1"/>
  <c r="R358" i="1"/>
  <c r="S358" i="1" s="1"/>
  <c r="R359" i="1"/>
  <c r="R375" i="1"/>
  <c r="S375" i="1" s="1"/>
  <c r="S376" i="1"/>
  <c r="R377" i="1"/>
  <c r="S544" i="1"/>
  <c r="R545" i="1"/>
  <c r="S545" i="1" s="1"/>
  <c r="R563" i="1"/>
  <c r="S563" i="1" s="1"/>
  <c r="R572" i="1"/>
  <c r="S572" i="1" s="1"/>
  <c r="R575" i="1"/>
  <c r="S575" i="1" s="1"/>
  <c r="R392" i="1"/>
  <c r="S392" i="1" s="1"/>
  <c r="R546" i="1"/>
  <c r="S546" i="1" s="1"/>
  <c r="S559" i="1"/>
  <c r="R564" i="1"/>
  <c r="S564" i="1" s="1"/>
  <c r="R2" i="1"/>
  <c r="S2" i="1" s="1"/>
  <c r="S40" i="1"/>
  <c r="S43" i="1"/>
  <c r="R44" i="1"/>
  <c r="S44" i="1" s="1"/>
  <c r="S48" i="1"/>
  <c r="R51" i="1"/>
  <c r="S51" i="1" s="1"/>
  <c r="R54" i="1"/>
  <c r="S54" i="1" s="1"/>
  <c r="S55" i="1"/>
  <c r="R56" i="1"/>
  <c r="S56" i="1" s="1"/>
  <c r="R61" i="1"/>
  <c r="S61" i="1" s="1"/>
  <c r="R69" i="1"/>
  <c r="S69" i="1" s="1"/>
  <c r="S83" i="1"/>
  <c r="R90" i="1"/>
  <c r="S90" i="1" s="1"/>
  <c r="R104" i="1"/>
  <c r="S104" i="1" s="1"/>
  <c r="R105" i="1"/>
  <c r="S105" i="1" s="1"/>
  <c r="R106" i="1"/>
  <c r="S106" i="1" s="1"/>
  <c r="R113" i="1"/>
  <c r="S113" i="1" s="1"/>
  <c r="S118" i="1"/>
  <c r="R121" i="1"/>
  <c r="S121" i="1" s="1"/>
  <c r="R122" i="1"/>
  <c r="S122" i="1" s="1"/>
  <c r="R127" i="1"/>
  <c r="S127" i="1" s="1"/>
  <c r="R130" i="1"/>
  <c r="S130" i="1" s="1"/>
  <c r="R133" i="1"/>
  <c r="S133" i="1" s="1"/>
  <c r="S146" i="1"/>
  <c r="R147" i="1"/>
  <c r="S147" i="1" s="1"/>
  <c r="S155" i="1"/>
  <c r="R163" i="1"/>
  <c r="S163" i="1" s="1"/>
  <c r="R311" i="1"/>
  <c r="S311" i="1" s="1"/>
  <c r="S347" i="1"/>
  <c r="R414" i="1"/>
  <c r="S414" i="1" s="1"/>
  <c r="R446" i="1"/>
  <c r="S446" i="1" s="1"/>
  <c r="R448" i="1"/>
  <c r="S448" i="1" s="1"/>
  <c r="S463" i="1"/>
  <c r="R474" i="1"/>
  <c r="S474" i="1" s="1"/>
  <c r="R490" i="1"/>
  <c r="S490" i="1" s="1"/>
  <c r="R354" i="1"/>
  <c r="S354" i="1" s="1"/>
  <c r="R366" i="1"/>
  <c r="S366" i="1" s="1"/>
  <c r="R367" i="1"/>
  <c r="S367" i="1" s="1"/>
  <c r="R393" i="1"/>
  <c r="S393" i="1" s="1"/>
  <c r="S407" i="1"/>
  <c r="R450" i="1"/>
  <c r="S450" i="1" s="1"/>
  <c r="R472" i="1"/>
  <c r="S472" i="1" s="1"/>
  <c r="S487" i="1"/>
  <c r="R486" i="1"/>
  <c r="S486" i="1" s="1"/>
  <c r="S494" i="1"/>
  <c r="S152" i="1"/>
  <c r="R157" i="1"/>
  <c r="S157" i="1" s="1"/>
  <c r="R161" i="1"/>
  <c r="S161" i="1" s="1"/>
  <c r="R165" i="1"/>
  <c r="S165" i="1" s="1"/>
  <c r="R166" i="1"/>
  <c r="S166" i="1" s="1"/>
  <c r="R300" i="1"/>
  <c r="S300" i="1" s="1"/>
  <c r="R302" i="1"/>
  <c r="S302" i="1" s="1"/>
  <c r="R304" i="1"/>
  <c r="S304" i="1" s="1"/>
  <c r="R305" i="1"/>
  <c r="S305" i="1" s="1"/>
  <c r="R318" i="1"/>
  <c r="S318" i="1" s="1"/>
  <c r="R322" i="1"/>
  <c r="S322" i="1" s="1"/>
  <c r="R329" i="1"/>
  <c r="S329" i="1" s="1"/>
  <c r="S334" i="1"/>
  <c r="R343" i="1"/>
  <c r="S343" i="1" s="1"/>
  <c r="R344" i="1"/>
  <c r="S344" i="1" s="1"/>
  <c r="R353" i="1"/>
  <c r="S353" i="1" s="1"/>
  <c r="R363" i="1"/>
  <c r="S363" i="1" s="1"/>
  <c r="R364" i="1"/>
  <c r="S364" i="1" s="1"/>
  <c r="S368" i="1"/>
  <c r="S379" i="1"/>
  <c r="R387" i="1"/>
  <c r="S387" i="1" s="1"/>
  <c r="R396" i="1"/>
  <c r="S396" i="1" s="1"/>
  <c r="R400" i="1"/>
  <c r="S400" i="1" s="1"/>
  <c r="R404" i="1"/>
  <c r="S404" i="1" s="1"/>
  <c r="R410" i="1"/>
  <c r="S410" i="1" s="1"/>
  <c r="R416" i="1"/>
  <c r="S416" i="1" s="1"/>
  <c r="R419" i="1"/>
  <c r="S419" i="1" s="1"/>
  <c r="R422" i="1"/>
  <c r="S422" i="1" s="1"/>
  <c r="R424" i="1"/>
  <c r="S424" i="1" s="1"/>
  <c r="R426" i="1"/>
  <c r="S426" i="1" s="1"/>
  <c r="R430" i="1"/>
  <c r="S430" i="1" s="1"/>
  <c r="R431" i="1"/>
  <c r="S431" i="1" s="1"/>
  <c r="R436" i="1"/>
  <c r="S436" i="1" s="1"/>
  <c r="R438" i="1"/>
  <c r="S438" i="1" s="1"/>
  <c r="R440" i="1"/>
  <c r="S440" i="1" s="1"/>
  <c r="R442" i="1"/>
  <c r="S442" i="1" s="1"/>
  <c r="R453" i="1"/>
  <c r="S453" i="1" s="1"/>
  <c r="R454" i="1"/>
  <c r="S454" i="1" s="1"/>
  <c r="R459" i="1"/>
  <c r="S459" i="1" s="1"/>
  <c r="R476" i="1"/>
  <c r="S476" i="1" s="1"/>
  <c r="R478" i="1"/>
  <c r="S478" i="1" s="1"/>
  <c r="S484" i="1"/>
  <c r="S491" i="1"/>
  <c r="R351" i="1"/>
  <c r="S351" i="1" s="1"/>
  <c r="R412" i="1"/>
  <c r="S412" i="1" s="1"/>
  <c r="S658" i="1"/>
  <c r="R766" i="1"/>
  <c r="S766" i="1" s="1"/>
  <c r="R769" i="1"/>
  <c r="S769" i="1" s="1"/>
  <c r="R775" i="1"/>
  <c r="S775" i="1" s="1"/>
  <c r="R779" i="1"/>
  <c r="S779" i="1" s="1"/>
  <c r="S784" i="1"/>
  <c r="R787" i="1"/>
  <c r="S787" i="1" s="1"/>
  <c r="R92" i="1"/>
  <c r="S92" i="1" s="1"/>
  <c r="R96" i="1"/>
  <c r="S96" i="1" s="1"/>
  <c r="R97" i="1"/>
  <c r="S97" i="1" s="1"/>
  <c r="R101" i="1"/>
  <c r="S101" i="1" s="1"/>
  <c r="R109" i="1"/>
  <c r="S109" i="1" s="1"/>
  <c r="R110" i="1"/>
  <c r="S110" i="1" s="1"/>
  <c r="S112" i="1"/>
  <c r="R114" i="1"/>
  <c r="S114" i="1" s="1"/>
  <c r="R123" i="1"/>
  <c r="S123" i="1" s="1"/>
  <c r="R125" i="1"/>
  <c r="S125" i="1" s="1"/>
  <c r="R126" i="1"/>
  <c r="S126" i="1" s="1"/>
  <c r="R129" i="1"/>
  <c r="S129" i="1" s="1"/>
  <c r="S136" i="1"/>
  <c r="R137" i="1"/>
  <c r="S137" i="1" s="1"/>
  <c r="S138" i="1"/>
  <c r="R139" i="1"/>
  <c r="S139" i="1" s="1"/>
  <c r="R141" i="1"/>
  <c r="S141" i="1" s="1"/>
  <c r="R150" i="1"/>
  <c r="S150" i="1" s="1"/>
  <c r="R153" i="1"/>
  <c r="S153" i="1" s="1"/>
  <c r="R160" i="1"/>
  <c r="S160" i="1" s="1"/>
  <c r="R162" i="1"/>
  <c r="S162" i="1" s="1"/>
  <c r="R297" i="1"/>
  <c r="S297" i="1" s="1"/>
  <c r="R298" i="1"/>
  <c r="S298" i="1" s="1"/>
  <c r="R317" i="1"/>
  <c r="S317" i="1" s="1"/>
  <c r="R328" i="1"/>
  <c r="S328" i="1" s="1"/>
  <c r="R341" i="1"/>
  <c r="S341" i="1" s="1"/>
  <c r="R346" i="1"/>
  <c r="S346" i="1" s="1"/>
  <c r="R349" i="1"/>
  <c r="S349" i="1" s="1"/>
  <c r="R350" i="1"/>
  <c r="S350" i="1" s="1"/>
  <c r="R357" i="1"/>
  <c r="S357" i="1" s="1"/>
  <c r="R362" i="1"/>
  <c r="S362" i="1" s="1"/>
  <c r="R370" i="1"/>
  <c r="S370" i="1" s="1"/>
  <c r="R373" i="1"/>
  <c r="S373" i="1" s="1"/>
  <c r="R374" i="1"/>
  <c r="S374" i="1" s="1"/>
  <c r="R382" i="1"/>
  <c r="S382" i="1" s="1"/>
  <c r="R386" i="1"/>
  <c r="S386" i="1" s="1"/>
  <c r="R389" i="1"/>
  <c r="S389" i="1" s="1"/>
  <c r="R391" i="1"/>
  <c r="S391" i="1" s="1"/>
  <c r="R405" i="1"/>
  <c r="S405" i="1" s="1"/>
  <c r="R411" i="1"/>
  <c r="S411" i="1" s="1"/>
  <c r="S432" i="1"/>
  <c r="R452" i="1"/>
  <c r="S452" i="1" s="1"/>
  <c r="S456" i="1"/>
  <c r="R457" i="1"/>
  <c r="S457" i="1" s="1"/>
  <c r="S462" i="1"/>
  <c r="R468" i="1"/>
  <c r="S468" i="1" s="1"/>
  <c r="S740" i="1"/>
  <c r="R120" i="1"/>
  <c r="S120" i="1" s="1"/>
  <c r="S135" i="1"/>
  <c r="S145" i="1"/>
  <c r="S148" i="1"/>
  <c r="R294" i="1"/>
  <c r="S294" i="1" s="1"/>
  <c r="R313" i="1"/>
  <c r="S313" i="1" s="1"/>
  <c r="R319" i="1"/>
  <c r="S319" i="1" s="1"/>
  <c r="R320" i="1"/>
  <c r="S320" i="1" s="1"/>
  <c r="R326" i="1"/>
  <c r="S326" i="1" s="1"/>
  <c r="R378" i="1"/>
  <c r="S378" i="1" s="1"/>
  <c r="R383" i="1"/>
  <c r="S383" i="1" s="1"/>
  <c r="R384" i="1"/>
  <c r="S384" i="1" s="1"/>
  <c r="R390" i="1"/>
  <c r="S390" i="1" s="1"/>
  <c r="R394" i="1"/>
  <c r="S394" i="1" s="1"/>
  <c r="R425" i="1"/>
  <c r="S425" i="1" s="1"/>
  <c r="S428" i="1"/>
  <c r="R445" i="1"/>
  <c r="S445" i="1" s="1"/>
  <c r="R470" i="1"/>
  <c r="S470" i="1" s="1"/>
  <c r="R475" i="1"/>
  <c r="S475" i="1" s="1"/>
  <c r="R483" i="1"/>
  <c r="S483" i="1" s="1"/>
  <c r="S488" i="1"/>
  <c r="S403" i="1"/>
  <c r="R46" i="1"/>
  <c r="S46" i="1" s="1"/>
  <c r="R49" i="1"/>
  <c r="S49" i="1" s="1"/>
  <c r="R50" i="1"/>
  <c r="S50" i="1" s="1"/>
  <c r="R57" i="1"/>
  <c r="S57" i="1" s="1"/>
  <c r="R58" i="1"/>
  <c r="S58" i="1" s="1"/>
  <c r="R60" i="1"/>
  <c r="S60" i="1" s="1"/>
  <c r="R62" i="1"/>
  <c r="S62" i="1" s="1"/>
  <c r="R64" i="1"/>
  <c r="S64" i="1" s="1"/>
  <c r="S66" i="1"/>
  <c r="R68" i="1"/>
  <c r="S68" i="1" s="1"/>
  <c r="S73" i="1"/>
  <c r="R78" i="1"/>
  <c r="S78" i="1" s="1"/>
  <c r="R80" i="1"/>
  <c r="S80" i="1" s="1"/>
  <c r="R82" i="1"/>
  <c r="S82" i="1" s="1"/>
  <c r="R87" i="1"/>
  <c r="S87" i="1" s="1"/>
  <c r="S98" i="1"/>
  <c r="S108" i="1"/>
  <c r="R124" i="1"/>
  <c r="S124" i="1" s="1"/>
  <c r="R144" i="1"/>
  <c r="S144" i="1" s="1"/>
  <c r="R159" i="1"/>
  <c r="S159" i="1" s="1"/>
  <c r="R303" i="1"/>
  <c r="S303" i="1" s="1"/>
  <c r="R433" i="1"/>
  <c r="S433" i="1" s="1"/>
  <c r="S493" i="1"/>
  <c r="R41" i="1"/>
  <c r="S41" i="1" s="1"/>
  <c r="R59" i="1"/>
  <c r="S59" i="1" s="1"/>
  <c r="R63" i="1"/>
  <c r="S63" i="1" s="1"/>
  <c r="R65" i="1"/>
  <c r="S65" i="1" s="1"/>
  <c r="S75" i="1"/>
  <c r="R77" i="1"/>
  <c r="S77" i="1" s="1"/>
  <c r="R79" i="1"/>
  <c r="S79" i="1" s="1"/>
  <c r="R84" i="1"/>
  <c r="S84" i="1" s="1"/>
  <c r="R111" i="1"/>
  <c r="S111" i="1" s="1"/>
  <c r="S331" i="1"/>
  <c r="R333" i="1"/>
  <c r="S333" i="1" s="1"/>
  <c r="R338" i="1"/>
  <c r="S338" i="1" s="1"/>
  <c r="R361" i="1"/>
  <c r="S361" i="1" s="1"/>
  <c r="S617" i="1" l="1"/>
  <c r="S612" i="1"/>
  <c r="S547" i="1"/>
  <c r="S45" i="1"/>
  <c r="S81" i="1"/>
  <c r="S406" i="1"/>
  <c r="S447" i="1"/>
  <c r="S485" i="1"/>
  <c r="S307" i="1"/>
  <c r="S395" i="1"/>
  <c r="S398" i="1"/>
  <c r="S248" i="1"/>
  <c r="S295" i="1"/>
  <c r="S340" i="1"/>
  <c r="S345" i="1"/>
  <c r="S352" i="1"/>
  <c r="S399" i="1"/>
  <c r="S401" i="1"/>
  <c r="S429" i="1"/>
  <c r="S441" i="1"/>
  <c r="S309" i="1"/>
  <c r="S339" i="1"/>
  <c r="S734" i="1"/>
  <c r="S88" i="1"/>
  <c r="S178" i="1"/>
  <c r="S315" i="1"/>
  <c r="S372" i="1"/>
  <c r="S479" i="1"/>
  <c r="S615" i="1"/>
  <c r="S293" i="1"/>
  <c r="S635" i="1"/>
  <c r="S643" i="1"/>
  <c r="S718" i="1"/>
  <c r="S747" i="1"/>
  <c r="S757" i="1"/>
  <c r="S765" i="1"/>
  <c r="S499" i="1"/>
  <c r="S645" i="1"/>
  <c r="S652" i="1"/>
  <c r="S706" i="1"/>
  <c r="S698" i="1"/>
  <c r="S246" i="1"/>
  <c r="S261" i="1"/>
  <c r="S263" i="1"/>
  <c r="S256" i="1"/>
  <c r="S469" i="1"/>
  <c r="S492" i="1"/>
  <c r="S767" i="1"/>
  <c r="S772" i="1"/>
  <c r="S776" i="1"/>
  <c r="S781" i="1"/>
  <c r="S782" i="1"/>
  <c r="S86" i="1"/>
  <c r="S100" i="1"/>
  <c r="S107" i="1"/>
  <c r="S115" i="1"/>
  <c r="S116" i="1"/>
  <c r="S117" i="1"/>
  <c r="S131" i="1"/>
  <c r="S140" i="1"/>
  <c r="S151" i="1"/>
  <c r="S158" i="1"/>
  <c r="S308" i="1"/>
  <c r="S325" i="1"/>
  <c r="S335" i="1"/>
  <c r="S413" i="1"/>
  <c r="S482" i="1"/>
  <c r="S489" i="1"/>
  <c r="S418" i="1"/>
  <c r="S52" i="1"/>
  <c r="S76" i="1"/>
  <c r="S85" i="1"/>
  <c r="S296" i="1"/>
  <c r="S630" i="1"/>
  <c r="S636" i="1"/>
  <c r="S684" i="1"/>
  <c r="S251" i="1"/>
  <c r="S321" i="1"/>
  <c r="S574" i="1"/>
  <c r="S562" i="1"/>
  <c r="S565" i="1"/>
  <c r="S577" i="1"/>
  <c r="S409" i="1"/>
  <c r="S324" i="1"/>
  <c r="S417" i="1"/>
  <c r="S421" i="1"/>
  <c r="S330" i="1"/>
  <c r="S149" i="1"/>
  <c r="S314" i="1"/>
  <c r="S337" i="1"/>
  <c r="S460" i="1"/>
  <c r="S355" i="1"/>
  <c r="S777" i="1"/>
  <c r="S780" i="1"/>
  <c r="S785" i="1"/>
  <c r="S786" i="1"/>
  <c r="S143" i="1"/>
  <c r="S310" i="1"/>
  <c r="S327" i="1"/>
  <c r="S348" i="1"/>
  <c r="S380" i="1"/>
  <c r="S402" i="1"/>
  <c r="S466" i="1"/>
  <c r="S473" i="1"/>
  <c r="S360" i="1"/>
  <c r="S359" i="1"/>
  <c r="S369" i="1"/>
  <c r="S385" i="1"/>
  <c r="S377" i="1"/>
</calcChain>
</file>

<file path=xl/sharedStrings.xml><?xml version="1.0" encoding="utf-8"?>
<sst xmlns="http://schemas.openxmlformats.org/spreadsheetml/2006/main" count="3167" uniqueCount="59">
  <si>
    <t>id</t>
  </si>
  <si>
    <t>motor_model</t>
  </si>
  <si>
    <t>shell_od_mm</t>
  </si>
  <si>
    <t>shaft_type</t>
  </si>
  <si>
    <t>shaft_od_mm</t>
  </si>
  <si>
    <t>hp</t>
  </si>
  <si>
    <t>speed_ftmin</t>
  </si>
  <si>
    <t>belt_pull_lbf</t>
  </si>
  <si>
    <t>drum_rpm</t>
  </si>
  <si>
    <t>stator_poles</t>
  </si>
  <si>
    <t>gear_code</t>
  </si>
  <si>
    <t>source_pdf</t>
  </si>
  <si>
    <t>TM100B25</t>
  </si>
  <si>
    <t>B</t>
  </si>
  <si>
    <t>S2</t>
  </si>
  <si>
    <t>s_TM100B25.pdf</t>
  </si>
  <si>
    <t>PL2</t>
  </si>
  <si>
    <t>PL3</t>
  </si>
  <si>
    <t>TM113B25</t>
  </si>
  <si>
    <t>s_TM113B25.pdf</t>
  </si>
  <si>
    <t>TM127B30</t>
  </si>
  <si>
    <t>s_TM127B30.pdf</t>
  </si>
  <si>
    <t>S3</t>
  </si>
  <si>
    <t>TM138B30</t>
  </si>
  <si>
    <t>s_TM138B30.pdf</t>
  </si>
  <si>
    <t>TM160B40</t>
  </si>
  <si>
    <t>s_TM160B40.pdf</t>
  </si>
  <si>
    <t>TM215B40</t>
  </si>
  <si>
    <t>s_TM215B40.pdf</t>
  </si>
  <si>
    <t>TM215B50</t>
  </si>
  <si>
    <t>s_TM215B50.pdf</t>
  </si>
  <si>
    <t>TM315A75</t>
  </si>
  <si>
    <t>A</t>
  </si>
  <si>
    <t>s_TM315A75.pdf</t>
  </si>
  <si>
    <t>TM315B50</t>
  </si>
  <si>
    <t>s_TM315B50.pdf</t>
  </si>
  <si>
    <t>TM315B60</t>
  </si>
  <si>
    <t>s_TM315B60.pdf</t>
  </si>
  <si>
    <t>TM400B60</t>
  </si>
  <si>
    <t>s_TM400B60.pdf</t>
  </si>
  <si>
    <t>TM500A60</t>
  </si>
  <si>
    <t>s_TM500A60.pdf</t>
  </si>
  <si>
    <t>TM500A75</t>
  </si>
  <si>
    <t>s_TM500A75.pdf</t>
  </si>
  <si>
    <t>TM600A100</t>
  </si>
  <si>
    <t>s_TM600A100.pdf</t>
  </si>
  <si>
    <t>TM800A100</t>
  </si>
  <si>
    <t>s_TM800A100.pdf</t>
  </si>
  <si>
    <t>TM800A130</t>
  </si>
  <si>
    <t>s_TM800A130.pdf</t>
  </si>
  <si>
    <t>TM915A160</t>
  </si>
  <si>
    <t>s_TM915A160.pdf</t>
  </si>
  <si>
    <t>phase</t>
  </si>
  <si>
    <t>Vs_rpm</t>
  </si>
  <si>
    <t>Ratio</t>
  </si>
  <si>
    <t>V</t>
  </si>
  <si>
    <t>Vft/m</t>
  </si>
  <si>
    <t>dv</t>
  </si>
  <si>
    <t>Vs_a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</si>
</sst>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8"/>
  <sheetViews>
    <sheetView tabSelected="1" topLeftCell="A16" workbookViewId="0">
      <selection activeCell="D76" sqref="D76"/>
    </sheetView>
  </sheetViews>
  <sheetFormatPr defaultRowHeight="14.5" x14ac:dyDescent="0.35"/>
  <cols>
    <col min="2" max="2" width="12.26953125" bestFit="1" customWidth="1"/>
    <col min="3" max="3" width="12.08984375" bestFit="1" customWidth="1"/>
    <col min="4" max="4" width="9.6328125" bestFit="1" customWidth="1"/>
    <col min="5" max="5" width="12.453125" bestFit="1" customWidth="1"/>
    <col min="6" max="6" width="4.81640625" bestFit="1" customWidth="1"/>
    <col min="7" max="8" width="11.26953125" bestFit="1" customWidth="1"/>
    <col min="9" max="9" width="9.81640625" bestFit="1" customWidth="1"/>
    <col min="10" max="10" width="11.1796875" bestFit="1" customWidth="1"/>
    <col min="11" max="11" width="9.453125" bestFit="1" customWidth="1"/>
    <col min="12" max="12" width="16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52</v>
      </c>
      <c r="N1" t="s">
        <v>53</v>
      </c>
      <c r="O1" t="s">
        <v>58</v>
      </c>
      <c r="P1" t="s">
        <v>54</v>
      </c>
      <c r="Q1" t="s">
        <v>55</v>
      </c>
      <c r="R1" t="s">
        <v>56</v>
      </c>
      <c r="S1" t="s">
        <v>57</v>
      </c>
    </row>
    <row r="2" spans="1:19" x14ac:dyDescent="0.35">
      <c r="A2">
        <v>1</v>
      </c>
      <c r="B2" t="s">
        <v>12</v>
      </c>
      <c r="C2">
        <v>100</v>
      </c>
      <c r="D2" t="s">
        <v>13</v>
      </c>
      <c r="E2">
        <v>25</v>
      </c>
      <c r="F2">
        <v>0.25</v>
      </c>
      <c r="G2">
        <v>409</v>
      </c>
      <c r="H2">
        <v>20</v>
      </c>
      <c r="I2">
        <v>397</v>
      </c>
      <c r="J2">
        <v>4</v>
      </c>
      <c r="K2" t="s">
        <v>14</v>
      </c>
      <c r="L2" t="s">
        <v>15</v>
      </c>
      <c r="M2">
        <v>3</v>
      </c>
      <c r="N2">
        <f>60*60*2/J2</f>
        <v>1800</v>
      </c>
      <c r="O2">
        <f>N2*(1-0.02)</f>
        <v>1764</v>
      </c>
      <c r="P2" s="1">
        <f>O2/I2</f>
        <v>4.4433249370277075</v>
      </c>
      <c r="Q2" s="1">
        <f>(I2*2*PI()/60)*(C2/2000)</f>
        <v>2.0786871391252464</v>
      </c>
      <c r="R2" s="1">
        <f>Q2*196.85</f>
        <v>409.18956333680472</v>
      </c>
      <c r="S2" s="1">
        <f>R2-G2</f>
        <v>0.18956333680472426</v>
      </c>
    </row>
    <row r="3" spans="1:19" x14ac:dyDescent="0.35">
      <c r="A3">
        <v>2</v>
      </c>
      <c r="B3" t="s">
        <v>12</v>
      </c>
      <c r="C3">
        <v>100</v>
      </c>
      <c r="D3" t="s">
        <v>13</v>
      </c>
      <c r="E3">
        <v>25</v>
      </c>
      <c r="F3">
        <v>0.25</v>
      </c>
      <c r="G3">
        <v>327</v>
      </c>
      <c r="H3">
        <v>25</v>
      </c>
      <c r="I3">
        <v>317</v>
      </c>
      <c r="J3">
        <v>4</v>
      </c>
      <c r="K3" t="s">
        <v>14</v>
      </c>
      <c r="L3" t="s">
        <v>15</v>
      </c>
      <c r="M3">
        <v>3</v>
      </c>
      <c r="N3">
        <f t="shared" ref="N3:N66" si="0">60*60*2/J3</f>
        <v>1800</v>
      </c>
      <c r="O3">
        <f t="shared" ref="O3:O66" si="1">N3*(1-0.02)</f>
        <v>1764</v>
      </c>
      <c r="P3" s="1">
        <f t="shared" ref="P3:P66" si="2">O3/I3</f>
        <v>5.5646687697160884</v>
      </c>
      <c r="Q3" s="1">
        <f t="shared" ref="Q3:Q66" si="3">(I3*2*PI()/60)*(C3/2000)</f>
        <v>1.6598081186466076</v>
      </c>
      <c r="R3" s="1">
        <f t="shared" ref="R3:R66" si="4">Q3*196.85</f>
        <v>326.7332281555847</v>
      </c>
      <c r="S3" s="1">
        <f t="shared" ref="S3:S66" si="5">R3-G3</f>
        <v>-0.26677184441530244</v>
      </c>
    </row>
    <row r="4" spans="1:19" x14ac:dyDescent="0.35">
      <c r="A4">
        <v>3</v>
      </c>
      <c r="B4" t="s">
        <v>12</v>
      </c>
      <c r="C4">
        <v>100</v>
      </c>
      <c r="D4" t="s">
        <v>13</v>
      </c>
      <c r="E4">
        <v>25</v>
      </c>
      <c r="F4">
        <v>0.25</v>
      </c>
      <c r="G4">
        <v>291</v>
      </c>
      <c r="H4">
        <v>28</v>
      </c>
      <c r="I4">
        <v>282</v>
      </c>
      <c r="J4">
        <v>4</v>
      </c>
      <c r="K4" t="s">
        <v>14</v>
      </c>
      <c r="L4" t="s">
        <v>15</v>
      </c>
      <c r="M4">
        <v>3</v>
      </c>
      <c r="N4">
        <f t="shared" si="0"/>
        <v>1800</v>
      </c>
      <c r="O4">
        <f t="shared" si="1"/>
        <v>1764</v>
      </c>
      <c r="P4" s="1">
        <f t="shared" si="2"/>
        <v>6.2553191489361701</v>
      </c>
      <c r="Q4" s="1">
        <f t="shared" si="3"/>
        <v>1.4765485471872029</v>
      </c>
      <c r="R4" s="1">
        <f t="shared" si="4"/>
        <v>290.65858151380087</v>
      </c>
      <c r="S4" s="1">
        <f t="shared" si="5"/>
        <v>-0.34141848619913162</v>
      </c>
    </row>
    <row r="5" spans="1:19" x14ac:dyDescent="0.35">
      <c r="A5">
        <v>4</v>
      </c>
      <c r="B5" t="s">
        <v>12</v>
      </c>
      <c r="C5">
        <v>100</v>
      </c>
      <c r="D5" t="s">
        <v>13</v>
      </c>
      <c r="E5">
        <v>25</v>
      </c>
      <c r="F5">
        <v>0.25</v>
      </c>
      <c r="G5">
        <v>258</v>
      </c>
      <c r="H5">
        <v>32</v>
      </c>
      <c r="I5">
        <v>250</v>
      </c>
      <c r="J5">
        <v>4</v>
      </c>
      <c r="K5" t="s">
        <v>14</v>
      </c>
      <c r="L5" t="s">
        <v>15</v>
      </c>
      <c r="M5">
        <v>3</v>
      </c>
      <c r="N5">
        <f t="shared" si="0"/>
        <v>1800</v>
      </c>
      <c r="O5">
        <f t="shared" si="1"/>
        <v>1764</v>
      </c>
      <c r="P5" s="1">
        <f t="shared" si="2"/>
        <v>7.056</v>
      </c>
      <c r="Q5" s="1">
        <f t="shared" si="3"/>
        <v>1.3089969389957472</v>
      </c>
      <c r="R5" s="1">
        <f t="shared" si="4"/>
        <v>257.67604744131285</v>
      </c>
      <c r="S5" s="1">
        <f t="shared" si="5"/>
        <v>-0.32395255868715367</v>
      </c>
    </row>
    <row r="6" spans="1:19" x14ac:dyDescent="0.35">
      <c r="A6">
        <v>5</v>
      </c>
      <c r="B6" t="s">
        <v>12</v>
      </c>
      <c r="C6">
        <v>100</v>
      </c>
      <c r="D6" t="s">
        <v>13</v>
      </c>
      <c r="E6">
        <v>25</v>
      </c>
      <c r="F6">
        <v>0.25</v>
      </c>
      <c r="G6">
        <v>227</v>
      </c>
      <c r="H6">
        <v>36</v>
      </c>
      <c r="I6">
        <v>220</v>
      </c>
      <c r="J6">
        <v>4</v>
      </c>
      <c r="K6" t="s">
        <v>14</v>
      </c>
      <c r="L6" t="s">
        <v>15</v>
      </c>
      <c r="M6">
        <v>3</v>
      </c>
      <c r="N6">
        <f t="shared" si="0"/>
        <v>1800</v>
      </c>
      <c r="O6">
        <f t="shared" si="1"/>
        <v>1764</v>
      </c>
      <c r="P6" s="1">
        <f t="shared" si="2"/>
        <v>8.0181818181818176</v>
      </c>
      <c r="Q6" s="1">
        <f t="shared" si="3"/>
        <v>1.1519173063162575</v>
      </c>
      <c r="R6" s="1">
        <f t="shared" si="4"/>
        <v>226.75492174835529</v>
      </c>
      <c r="S6" s="1">
        <f t="shared" si="5"/>
        <v>-0.24507825164471342</v>
      </c>
    </row>
    <row r="7" spans="1:19" x14ac:dyDescent="0.35">
      <c r="A7">
        <v>6</v>
      </c>
      <c r="B7" t="s">
        <v>12</v>
      </c>
      <c r="C7">
        <v>100</v>
      </c>
      <c r="D7" t="s">
        <v>13</v>
      </c>
      <c r="E7">
        <v>25</v>
      </c>
      <c r="F7">
        <v>0.25</v>
      </c>
      <c r="G7">
        <v>199</v>
      </c>
      <c r="H7">
        <v>41</v>
      </c>
      <c r="I7">
        <v>193</v>
      </c>
      <c r="J7">
        <v>4</v>
      </c>
      <c r="K7" t="s">
        <v>14</v>
      </c>
      <c r="L7" t="s">
        <v>15</v>
      </c>
      <c r="M7">
        <v>3</v>
      </c>
      <c r="N7">
        <f t="shared" si="0"/>
        <v>1800</v>
      </c>
      <c r="O7">
        <f t="shared" si="1"/>
        <v>1764</v>
      </c>
      <c r="P7" s="1">
        <f t="shared" si="2"/>
        <v>9.1398963730569953</v>
      </c>
      <c r="Q7" s="1">
        <f t="shared" si="3"/>
        <v>1.0105456369047168</v>
      </c>
      <c r="R7" s="1">
        <f t="shared" si="4"/>
        <v>198.92590862469348</v>
      </c>
      <c r="S7" s="1">
        <f t="shared" si="5"/>
        <v>-7.4091375306522878E-2</v>
      </c>
    </row>
    <row r="8" spans="1:19" x14ac:dyDescent="0.35">
      <c r="A8">
        <v>7</v>
      </c>
      <c r="B8" t="s">
        <v>12</v>
      </c>
      <c r="C8">
        <v>100</v>
      </c>
      <c r="D8" t="s">
        <v>13</v>
      </c>
      <c r="E8">
        <v>25</v>
      </c>
      <c r="F8">
        <v>0.25</v>
      </c>
      <c r="G8">
        <v>177</v>
      </c>
      <c r="H8">
        <v>47</v>
      </c>
      <c r="I8">
        <v>172</v>
      </c>
      <c r="J8">
        <v>4</v>
      </c>
      <c r="K8" t="s">
        <v>16</v>
      </c>
      <c r="L8" t="s">
        <v>15</v>
      </c>
      <c r="M8">
        <v>3</v>
      </c>
      <c r="N8">
        <f t="shared" si="0"/>
        <v>1800</v>
      </c>
      <c r="O8">
        <f t="shared" si="1"/>
        <v>1764</v>
      </c>
      <c r="P8" s="1">
        <f t="shared" si="2"/>
        <v>10.255813953488373</v>
      </c>
      <c r="Q8" s="1">
        <f t="shared" si="3"/>
        <v>0.90058989402907397</v>
      </c>
      <c r="R8" s="1">
        <f t="shared" si="4"/>
        <v>177.2811206396232</v>
      </c>
      <c r="S8" s="1">
        <f t="shared" si="5"/>
        <v>0.28112063962319667</v>
      </c>
    </row>
    <row r="9" spans="1:19" x14ac:dyDescent="0.35">
      <c r="A9">
        <v>8</v>
      </c>
      <c r="B9" t="s">
        <v>12</v>
      </c>
      <c r="C9">
        <v>100</v>
      </c>
      <c r="D9" t="s">
        <v>13</v>
      </c>
      <c r="E9">
        <v>25</v>
      </c>
      <c r="F9">
        <v>0.25</v>
      </c>
      <c r="G9">
        <v>157</v>
      </c>
      <c r="H9">
        <v>52</v>
      </c>
      <c r="I9">
        <v>152</v>
      </c>
      <c r="J9">
        <v>4</v>
      </c>
      <c r="K9" t="s">
        <v>16</v>
      </c>
      <c r="L9" t="s">
        <v>15</v>
      </c>
      <c r="M9">
        <v>3</v>
      </c>
      <c r="N9">
        <f t="shared" si="0"/>
        <v>1800</v>
      </c>
      <c r="O9">
        <f t="shared" si="1"/>
        <v>1764</v>
      </c>
      <c r="P9" s="1">
        <f t="shared" si="2"/>
        <v>11.605263157894736</v>
      </c>
      <c r="Q9" s="1">
        <f t="shared" si="3"/>
        <v>0.79587013890941427</v>
      </c>
      <c r="R9" s="1">
        <f t="shared" si="4"/>
        <v>156.6670368443182</v>
      </c>
      <c r="S9" s="1">
        <f t="shared" si="5"/>
        <v>-0.3329631556817958</v>
      </c>
    </row>
    <row r="10" spans="1:19" x14ac:dyDescent="0.35">
      <c r="A10">
        <v>9</v>
      </c>
      <c r="B10" t="s">
        <v>12</v>
      </c>
      <c r="C10">
        <v>100</v>
      </c>
      <c r="D10" t="s">
        <v>13</v>
      </c>
      <c r="E10">
        <v>25</v>
      </c>
      <c r="F10">
        <v>0.25</v>
      </c>
      <c r="G10">
        <v>149</v>
      </c>
      <c r="H10">
        <v>55</v>
      </c>
      <c r="I10">
        <v>145</v>
      </c>
      <c r="J10">
        <v>4</v>
      </c>
      <c r="K10" t="s">
        <v>16</v>
      </c>
      <c r="L10" t="s">
        <v>15</v>
      </c>
      <c r="M10">
        <v>3</v>
      </c>
      <c r="N10">
        <f t="shared" si="0"/>
        <v>1800</v>
      </c>
      <c r="O10">
        <f t="shared" si="1"/>
        <v>1764</v>
      </c>
      <c r="P10" s="1">
        <f t="shared" si="2"/>
        <v>12.165517241379311</v>
      </c>
      <c r="Q10" s="1">
        <f t="shared" si="3"/>
        <v>0.7592182246175333</v>
      </c>
      <c r="R10" s="1">
        <f t="shared" si="4"/>
        <v>149.45210751596142</v>
      </c>
      <c r="S10" s="1">
        <f t="shared" si="5"/>
        <v>0.45210751596141563</v>
      </c>
    </row>
    <row r="11" spans="1:19" x14ac:dyDescent="0.35">
      <c r="A11">
        <v>10</v>
      </c>
      <c r="B11" t="s">
        <v>12</v>
      </c>
      <c r="C11">
        <v>100</v>
      </c>
      <c r="D11" t="s">
        <v>13</v>
      </c>
      <c r="E11">
        <v>25</v>
      </c>
      <c r="F11">
        <v>0.25</v>
      </c>
      <c r="G11">
        <v>132</v>
      </c>
      <c r="H11">
        <v>63</v>
      </c>
      <c r="I11">
        <v>128</v>
      </c>
      <c r="J11">
        <v>4</v>
      </c>
      <c r="K11" t="s">
        <v>16</v>
      </c>
      <c r="L11" t="s">
        <v>15</v>
      </c>
      <c r="M11">
        <v>3</v>
      </c>
      <c r="N11">
        <f t="shared" si="0"/>
        <v>1800</v>
      </c>
      <c r="O11">
        <f t="shared" si="1"/>
        <v>1764</v>
      </c>
      <c r="P11" s="1">
        <f t="shared" si="2"/>
        <v>13.78125</v>
      </c>
      <c r="Q11" s="1">
        <f t="shared" si="3"/>
        <v>0.67020643276582259</v>
      </c>
      <c r="R11" s="1">
        <f t="shared" si="4"/>
        <v>131.93013628995217</v>
      </c>
      <c r="S11" s="1">
        <f t="shared" si="5"/>
        <v>-6.9863710047826544E-2</v>
      </c>
    </row>
    <row r="12" spans="1:19" x14ac:dyDescent="0.35">
      <c r="A12">
        <v>11</v>
      </c>
      <c r="B12" t="s">
        <v>12</v>
      </c>
      <c r="C12">
        <v>100</v>
      </c>
      <c r="D12" t="s">
        <v>13</v>
      </c>
      <c r="E12">
        <v>25</v>
      </c>
      <c r="F12">
        <v>0.25</v>
      </c>
      <c r="G12">
        <v>111</v>
      </c>
      <c r="H12">
        <v>74</v>
      </c>
      <c r="I12">
        <v>108</v>
      </c>
      <c r="J12">
        <v>4</v>
      </c>
      <c r="K12" t="s">
        <v>16</v>
      </c>
      <c r="L12" t="s">
        <v>15</v>
      </c>
      <c r="M12">
        <v>3</v>
      </c>
      <c r="N12">
        <f t="shared" si="0"/>
        <v>1800</v>
      </c>
      <c r="O12">
        <f t="shared" si="1"/>
        <v>1764</v>
      </c>
      <c r="P12" s="1">
        <f t="shared" si="2"/>
        <v>16.333333333333332</v>
      </c>
      <c r="Q12" s="1">
        <f t="shared" si="3"/>
        <v>0.56548667764616278</v>
      </c>
      <c r="R12" s="1">
        <f t="shared" si="4"/>
        <v>111.31605249464714</v>
      </c>
      <c r="S12" s="1">
        <f t="shared" si="5"/>
        <v>0.31605249464713836</v>
      </c>
    </row>
    <row r="13" spans="1:19" x14ac:dyDescent="0.35">
      <c r="A13">
        <v>12</v>
      </c>
      <c r="B13" t="s">
        <v>12</v>
      </c>
      <c r="C13">
        <v>100</v>
      </c>
      <c r="D13" t="s">
        <v>13</v>
      </c>
      <c r="E13">
        <v>25</v>
      </c>
      <c r="F13">
        <v>0.25</v>
      </c>
      <c r="G13">
        <v>106</v>
      </c>
      <c r="H13">
        <v>78</v>
      </c>
      <c r="I13">
        <v>103</v>
      </c>
      <c r="J13">
        <v>4</v>
      </c>
      <c r="K13" t="s">
        <v>16</v>
      </c>
      <c r="L13" t="s">
        <v>15</v>
      </c>
      <c r="M13">
        <v>3</v>
      </c>
      <c r="N13">
        <f t="shared" si="0"/>
        <v>1800</v>
      </c>
      <c r="O13">
        <f t="shared" si="1"/>
        <v>1764</v>
      </c>
      <c r="P13" s="1">
        <f t="shared" si="2"/>
        <v>17.126213592233011</v>
      </c>
      <c r="Q13" s="1">
        <f t="shared" si="3"/>
        <v>0.5393067388662478</v>
      </c>
      <c r="R13" s="1">
        <f t="shared" si="4"/>
        <v>106.16253154582088</v>
      </c>
      <c r="S13" s="1">
        <f t="shared" si="5"/>
        <v>0.16253154582088314</v>
      </c>
    </row>
    <row r="14" spans="1:19" x14ac:dyDescent="0.35">
      <c r="A14">
        <v>13</v>
      </c>
      <c r="B14" t="s">
        <v>12</v>
      </c>
      <c r="C14">
        <v>100</v>
      </c>
      <c r="D14" t="s">
        <v>13</v>
      </c>
      <c r="E14">
        <v>25</v>
      </c>
      <c r="F14">
        <v>0.25</v>
      </c>
      <c r="G14">
        <v>93</v>
      </c>
      <c r="H14">
        <v>88</v>
      </c>
      <c r="I14">
        <v>90</v>
      </c>
      <c r="J14">
        <v>4</v>
      </c>
      <c r="K14" t="s">
        <v>16</v>
      </c>
      <c r="L14" t="s">
        <v>15</v>
      </c>
      <c r="M14">
        <v>3</v>
      </c>
      <c r="N14">
        <f t="shared" si="0"/>
        <v>1800</v>
      </c>
      <c r="O14">
        <f t="shared" si="1"/>
        <v>1764</v>
      </c>
      <c r="P14" s="1">
        <f t="shared" si="2"/>
        <v>19.600000000000001</v>
      </c>
      <c r="Q14" s="1">
        <f t="shared" si="3"/>
        <v>0.47123889803846897</v>
      </c>
      <c r="R14" s="1">
        <f t="shared" si="4"/>
        <v>92.763377078872608</v>
      </c>
      <c r="S14" s="1">
        <f t="shared" si="5"/>
        <v>-0.23662292112739181</v>
      </c>
    </row>
    <row r="15" spans="1:19" x14ac:dyDescent="0.35">
      <c r="A15">
        <v>14</v>
      </c>
      <c r="B15" t="s">
        <v>12</v>
      </c>
      <c r="C15">
        <v>100</v>
      </c>
      <c r="D15" t="s">
        <v>13</v>
      </c>
      <c r="E15">
        <v>25</v>
      </c>
      <c r="F15">
        <v>0.25</v>
      </c>
      <c r="G15">
        <v>83</v>
      </c>
      <c r="H15">
        <v>100</v>
      </c>
      <c r="I15">
        <v>81</v>
      </c>
      <c r="J15">
        <v>4</v>
      </c>
      <c r="K15" t="s">
        <v>16</v>
      </c>
      <c r="L15" t="s">
        <v>15</v>
      </c>
      <c r="M15">
        <v>3</v>
      </c>
      <c r="N15">
        <f t="shared" si="0"/>
        <v>1800</v>
      </c>
      <c r="O15">
        <f t="shared" si="1"/>
        <v>1764</v>
      </c>
      <c r="P15" s="1">
        <f t="shared" si="2"/>
        <v>21.777777777777779</v>
      </c>
      <c r="Q15" s="1">
        <f t="shared" si="3"/>
        <v>0.42411500823462212</v>
      </c>
      <c r="R15" s="1">
        <f t="shared" si="4"/>
        <v>83.487039370985357</v>
      </c>
      <c r="S15" s="1">
        <f t="shared" si="5"/>
        <v>0.48703937098535732</v>
      </c>
    </row>
    <row r="16" spans="1:19" x14ac:dyDescent="0.35">
      <c r="A16">
        <v>15</v>
      </c>
      <c r="B16" t="s">
        <v>12</v>
      </c>
      <c r="C16">
        <v>100</v>
      </c>
      <c r="D16" t="s">
        <v>13</v>
      </c>
      <c r="E16">
        <v>25</v>
      </c>
      <c r="F16">
        <v>0.25</v>
      </c>
      <c r="G16">
        <v>69</v>
      </c>
      <c r="H16">
        <v>119</v>
      </c>
      <c r="I16">
        <v>67</v>
      </c>
      <c r="J16">
        <v>4</v>
      </c>
      <c r="K16" t="s">
        <v>16</v>
      </c>
      <c r="L16" t="s">
        <v>15</v>
      </c>
      <c r="M16">
        <v>3</v>
      </c>
      <c r="N16">
        <f t="shared" si="0"/>
        <v>1800</v>
      </c>
      <c r="O16">
        <f t="shared" si="1"/>
        <v>1764</v>
      </c>
      <c r="P16" s="1">
        <f t="shared" si="2"/>
        <v>26.328358208955223</v>
      </c>
      <c r="Q16" s="1">
        <f t="shared" si="3"/>
        <v>0.35081117965086023</v>
      </c>
      <c r="R16" s="1">
        <f t="shared" si="4"/>
        <v>69.057180714271837</v>
      </c>
      <c r="S16" s="1">
        <f t="shared" si="5"/>
        <v>5.7180714271837019E-2</v>
      </c>
    </row>
    <row r="17" spans="1:19" x14ac:dyDescent="0.35">
      <c r="A17">
        <v>16</v>
      </c>
      <c r="B17" t="s">
        <v>12</v>
      </c>
      <c r="C17">
        <v>100</v>
      </c>
      <c r="D17" t="s">
        <v>13</v>
      </c>
      <c r="E17">
        <v>25</v>
      </c>
      <c r="F17">
        <v>0.25</v>
      </c>
      <c r="G17">
        <v>56</v>
      </c>
      <c r="H17">
        <v>148</v>
      </c>
      <c r="I17">
        <v>54</v>
      </c>
      <c r="J17">
        <v>4</v>
      </c>
      <c r="K17" t="s">
        <v>16</v>
      </c>
      <c r="L17" t="s">
        <v>15</v>
      </c>
      <c r="M17">
        <v>3</v>
      </c>
      <c r="N17">
        <f t="shared" si="0"/>
        <v>1800</v>
      </c>
      <c r="O17">
        <f t="shared" si="1"/>
        <v>1764</v>
      </c>
      <c r="P17" s="1">
        <f t="shared" si="2"/>
        <v>32.666666666666664</v>
      </c>
      <c r="Q17" s="1">
        <f t="shared" si="3"/>
        <v>0.28274333882308139</v>
      </c>
      <c r="R17" s="1">
        <f t="shared" si="4"/>
        <v>55.658026247323569</v>
      </c>
      <c r="S17" s="1">
        <f t="shared" si="5"/>
        <v>-0.34197375267643082</v>
      </c>
    </row>
    <row r="18" spans="1:19" x14ac:dyDescent="0.35">
      <c r="A18">
        <v>17</v>
      </c>
      <c r="B18" t="s">
        <v>12</v>
      </c>
      <c r="C18">
        <v>100</v>
      </c>
      <c r="D18" t="s">
        <v>13</v>
      </c>
      <c r="E18">
        <v>25</v>
      </c>
      <c r="F18">
        <v>0.25</v>
      </c>
      <c r="G18">
        <v>44</v>
      </c>
      <c r="H18">
        <v>189</v>
      </c>
      <c r="I18">
        <v>43</v>
      </c>
      <c r="J18">
        <v>4</v>
      </c>
      <c r="K18" t="s">
        <v>17</v>
      </c>
      <c r="L18" t="s">
        <v>15</v>
      </c>
      <c r="M18">
        <v>3</v>
      </c>
      <c r="N18">
        <f t="shared" si="0"/>
        <v>1800</v>
      </c>
      <c r="O18">
        <f t="shared" si="1"/>
        <v>1764</v>
      </c>
      <c r="P18" s="1">
        <f t="shared" si="2"/>
        <v>41.02325581395349</v>
      </c>
      <c r="Q18" s="1">
        <f t="shared" si="3"/>
        <v>0.22514747350726849</v>
      </c>
      <c r="R18" s="1">
        <f t="shared" si="4"/>
        <v>44.320280159905799</v>
      </c>
      <c r="S18" s="1">
        <f t="shared" si="5"/>
        <v>0.32028015990579917</v>
      </c>
    </row>
    <row r="19" spans="1:19" x14ac:dyDescent="0.35">
      <c r="A19">
        <v>18</v>
      </c>
      <c r="B19" t="s">
        <v>12</v>
      </c>
      <c r="C19">
        <v>100</v>
      </c>
      <c r="D19" t="s">
        <v>13</v>
      </c>
      <c r="E19">
        <v>25</v>
      </c>
      <c r="F19">
        <v>0.25</v>
      </c>
      <c r="G19">
        <v>37</v>
      </c>
      <c r="H19">
        <v>225</v>
      </c>
      <c r="I19">
        <v>36</v>
      </c>
      <c r="J19">
        <v>4</v>
      </c>
      <c r="K19" t="s">
        <v>17</v>
      </c>
      <c r="L19" t="s">
        <v>15</v>
      </c>
      <c r="M19">
        <v>3</v>
      </c>
      <c r="N19">
        <f t="shared" si="0"/>
        <v>1800</v>
      </c>
      <c r="O19">
        <f t="shared" si="1"/>
        <v>1764</v>
      </c>
      <c r="P19" s="1">
        <f t="shared" si="2"/>
        <v>49</v>
      </c>
      <c r="Q19" s="1">
        <f t="shared" si="3"/>
        <v>0.1884955592153876</v>
      </c>
      <c r="R19" s="1">
        <f t="shared" si="4"/>
        <v>37.105350831549046</v>
      </c>
      <c r="S19" s="1">
        <f t="shared" si="5"/>
        <v>0.10535083154904612</v>
      </c>
    </row>
    <row r="20" spans="1:19" x14ac:dyDescent="0.35">
      <c r="A20">
        <v>19</v>
      </c>
      <c r="B20" t="s">
        <v>12</v>
      </c>
      <c r="C20">
        <v>100</v>
      </c>
      <c r="D20" t="s">
        <v>13</v>
      </c>
      <c r="E20">
        <v>25</v>
      </c>
      <c r="F20">
        <v>0.25</v>
      </c>
      <c r="G20">
        <v>33</v>
      </c>
      <c r="H20">
        <v>253</v>
      </c>
      <c r="I20">
        <v>32</v>
      </c>
      <c r="J20">
        <v>4</v>
      </c>
      <c r="K20" t="s">
        <v>17</v>
      </c>
      <c r="L20" t="s">
        <v>15</v>
      </c>
      <c r="M20">
        <v>3</v>
      </c>
      <c r="N20">
        <f t="shared" si="0"/>
        <v>1800</v>
      </c>
      <c r="O20">
        <f t="shared" si="1"/>
        <v>1764</v>
      </c>
      <c r="P20" s="1">
        <f t="shared" si="2"/>
        <v>55.125</v>
      </c>
      <c r="Q20" s="1">
        <f t="shared" si="3"/>
        <v>0.16755160819145565</v>
      </c>
      <c r="R20" s="1">
        <f t="shared" si="4"/>
        <v>32.982534072488043</v>
      </c>
      <c r="S20" s="1">
        <f t="shared" si="5"/>
        <v>-1.7465927511956636E-2</v>
      </c>
    </row>
    <row r="21" spans="1:19" x14ac:dyDescent="0.35">
      <c r="A21">
        <v>20</v>
      </c>
      <c r="B21" t="s">
        <v>12</v>
      </c>
      <c r="C21">
        <v>100</v>
      </c>
      <c r="D21" t="s">
        <v>13</v>
      </c>
      <c r="E21">
        <v>25</v>
      </c>
      <c r="F21">
        <v>0.25</v>
      </c>
      <c r="G21">
        <v>27</v>
      </c>
      <c r="H21">
        <v>274</v>
      </c>
      <c r="I21">
        <v>26</v>
      </c>
      <c r="J21">
        <v>4</v>
      </c>
      <c r="K21" t="s">
        <v>17</v>
      </c>
      <c r="L21" t="s">
        <v>15</v>
      </c>
      <c r="M21">
        <v>3</v>
      </c>
      <c r="N21">
        <f t="shared" si="0"/>
        <v>1800</v>
      </c>
      <c r="O21">
        <f t="shared" si="1"/>
        <v>1764</v>
      </c>
      <c r="P21" s="1">
        <f t="shared" si="2"/>
        <v>67.84615384615384</v>
      </c>
      <c r="Q21" s="1">
        <f t="shared" si="3"/>
        <v>0.13613568165555773</v>
      </c>
      <c r="R21" s="1">
        <f t="shared" si="4"/>
        <v>26.798308933896539</v>
      </c>
      <c r="S21" s="1">
        <f t="shared" si="5"/>
        <v>-0.20169106610346077</v>
      </c>
    </row>
    <row r="22" spans="1:19" x14ac:dyDescent="0.35">
      <c r="A22">
        <v>21</v>
      </c>
      <c r="B22" t="s">
        <v>12</v>
      </c>
      <c r="C22">
        <v>100</v>
      </c>
      <c r="D22" t="s">
        <v>13</v>
      </c>
      <c r="E22">
        <v>25</v>
      </c>
      <c r="F22">
        <v>0.25</v>
      </c>
      <c r="G22">
        <v>23</v>
      </c>
      <c r="H22">
        <v>274</v>
      </c>
      <c r="I22">
        <v>22</v>
      </c>
      <c r="J22">
        <v>4</v>
      </c>
      <c r="K22" t="s">
        <v>17</v>
      </c>
      <c r="L22" t="s">
        <v>15</v>
      </c>
      <c r="M22">
        <v>3</v>
      </c>
      <c r="N22">
        <f t="shared" si="0"/>
        <v>1800</v>
      </c>
      <c r="O22">
        <f t="shared" si="1"/>
        <v>1764</v>
      </c>
      <c r="P22" s="1">
        <f t="shared" si="2"/>
        <v>80.181818181818187</v>
      </c>
      <c r="Q22" s="1">
        <f t="shared" si="3"/>
        <v>0.11519173063162574</v>
      </c>
      <c r="R22" s="1">
        <f t="shared" si="4"/>
        <v>22.675492174835526</v>
      </c>
      <c r="S22" s="1">
        <f t="shared" si="5"/>
        <v>-0.32450782516447418</v>
      </c>
    </row>
    <row r="23" spans="1:19" x14ac:dyDescent="0.35">
      <c r="A23">
        <v>22</v>
      </c>
      <c r="B23" t="s">
        <v>12</v>
      </c>
      <c r="C23">
        <v>100</v>
      </c>
      <c r="D23" t="s">
        <v>13</v>
      </c>
      <c r="E23">
        <v>25</v>
      </c>
      <c r="F23">
        <v>0.25</v>
      </c>
      <c r="G23">
        <v>20</v>
      </c>
      <c r="H23">
        <v>274</v>
      </c>
      <c r="I23">
        <v>19</v>
      </c>
      <c r="J23">
        <v>4</v>
      </c>
      <c r="K23" t="s">
        <v>17</v>
      </c>
      <c r="L23" t="s">
        <v>15</v>
      </c>
      <c r="M23">
        <v>3</v>
      </c>
      <c r="N23">
        <f t="shared" si="0"/>
        <v>1800</v>
      </c>
      <c r="O23">
        <f t="shared" si="1"/>
        <v>1764</v>
      </c>
      <c r="P23" s="1">
        <f t="shared" si="2"/>
        <v>92.84210526315789</v>
      </c>
      <c r="Q23" s="1">
        <f t="shared" si="3"/>
        <v>9.9483767363676784E-2</v>
      </c>
      <c r="R23" s="1">
        <f t="shared" si="4"/>
        <v>19.583379605539776</v>
      </c>
      <c r="S23" s="1">
        <f t="shared" si="5"/>
        <v>-0.41662039446022447</v>
      </c>
    </row>
    <row r="24" spans="1:19" x14ac:dyDescent="0.35">
      <c r="A24">
        <v>23</v>
      </c>
      <c r="B24" t="s">
        <v>12</v>
      </c>
      <c r="C24">
        <v>100</v>
      </c>
      <c r="D24" t="s">
        <v>13</v>
      </c>
      <c r="E24">
        <v>25</v>
      </c>
      <c r="F24">
        <v>0.25</v>
      </c>
      <c r="G24">
        <v>17</v>
      </c>
      <c r="H24">
        <v>274</v>
      </c>
      <c r="I24">
        <v>17</v>
      </c>
      <c r="J24">
        <v>4</v>
      </c>
      <c r="K24" t="s">
        <v>17</v>
      </c>
      <c r="L24" t="s">
        <v>15</v>
      </c>
      <c r="M24">
        <v>3</v>
      </c>
      <c r="N24">
        <f t="shared" si="0"/>
        <v>1800</v>
      </c>
      <c r="O24">
        <f t="shared" si="1"/>
        <v>1764</v>
      </c>
      <c r="P24" s="1">
        <f t="shared" si="2"/>
        <v>103.76470588235294</v>
      </c>
      <c r="Q24" s="1">
        <f t="shared" si="3"/>
        <v>8.901179185171082E-2</v>
      </c>
      <c r="R24" s="1">
        <f t="shared" si="4"/>
        <v>17.521971226009274</v>
      </c>
      <c r="S24" s="1">
        <f t="shared" si="5"/>
        <v>0.52197122600927415</v>
      </c>
    </row>
    <row r="25" spans="1:19" x14ac:dyDescent="0.35">
      <c r="A25">
        <v>24</v>
      </c>
      <c r="B25" t="s">
        <v>12</v>
      </c>
      <c r="C25">
        <v>100</v>
      </c>
      <c r="D25" t="s">
        <v>13</v>
      </c>
      <c r="E25">
        <v>25</v>
      </c>
      <c r="F25">
        <v>0.25</v>
      </c>
      <c r="G25">
        <v>14</v>
      </c>
      <c r="H25">
        <v>274</v>
      </c>
      <c r="I25">
        <v>14</v>
      </c>
      <c r="J25">
        <v>4</v>
      </c>
      <c r="K25" t="s">
        <v>17</v>
      </c>
      <c r="L25" t="s">
        <v>15</v>
      </c>
      <c r="M25">
        <v>3</v>
      </c>
      <c r="N25">
        <f t="shared" si="0"/>
        <v>1800</v>
      </c>
      <c r="O25">
        <f t="shared" si="1"/>
        <v>1764</v>
      </c>
      <c r="P25" s="1">
        <f t="shared" si="2"/>
        <v>126</v>
      </c>
      <c r="Q25" s="1">
        <f t="shared" si="3"/>
        <v>7.3303828583761846E-2</v>
      </c>
      <c r="R25" s="1">
        <f t="shared" si="4"/>
        <v>14.429858656713519</v>
      </c>
      <c r="S25" s="1">
        <f t="shared" si="5"/>
        <v>0.42985865671351853</v>
      </c>
    </row>
    <row r="26" spans="1:19" x14ac:dyDescent="0.35">
      <c r="A26">
        <v>25</v>
      </c>
      <c r="B26" t="s">
        <v>12</v>
      </c>
      <c r="C26">
        <v>100</v>
      </c>
      <c r="D26" t="s">
        <v>13</v>
      </c>
      <c r="E26">
        <v>25</v>
      </c>
      <c r="F26">
        <v>0.16</v>
      </c>
      <c r="G26">
        <v>258</v>
      </c>
      <c r="H26">
        <v>20</v>
      </c>
      <c r="I26">
        <v>250</v>
      </c>
      <c r="J26">
        <v>4</v>
      </c>
      <c r="K26" t="s">
        <v>14</v>
      </c>
      <c r="L26" t="s">
        <v>15</v>
      </c>
      <c r="M26">
        <v>3</v>
      </c>
      <c r="N26">
        <f t="shared" si="0"/>
        <v>1800</v>
      </c>
      <c r="O26">
        <f t="shared" si="1"/>
        <v>1764</v>
      </c>
      <c r="P26" s="1">
        <f t="shared" si="2"/>
        <v>7.056</v>
      </c>
      <c r="Q26" s="1">
        <f t="shared" si="3"/>
        <v>1.3089969389957472</v>
      </c>
      <c r="R26" s="1">
        <f t="shared" si="4"/>
        <v>257.67604744131285</v>
      </c>
      <c r="S26" s="1">
        <f t="shared" si="5"/>
        <v>-0.32395255868715367</v>
      </c>
    </row>
    <row r="27" spans="1:19" x14ac:dyDescent="0.35">
      <c r="A27">
        <v>26</v>
      </c>
      <c r="B27" t="s">
        <v>12</v>
      </c>
      <c r="C27">
        <v>100</v>
      </c>
      <c r="D27" t="s">
        <v>13</v>
      </c>
      <c r="E27">
        <v>25</v>
      </c>
      <c r="F27">
        <v>0.16</v>
      </c>
      <c r="G27">
        <v>227</v>
      </c>
      <c r="H27">
        <v>23</v>
      </c>
      <c r="I27">
        <v>220</v>
      </c>
      <c r="J27">
        <v>4</v>
      </c>
      <c r="K27" t="s">
        <v>14</v>
      </c>
      <c r="L27" t="s">
        <v>15</v>
      </c>
      <c r="M27">
        <v>3</v>
      </c>
      <c r="N27">
        <f t="shared" si="0"/>
        <v>1800</v>
      </c>
      <c r="O27">
        <f t="shared" si="1"/>
        <v>1764</v>
      </c>
      <c r="P27" s="1">
        <f t="shared" si="2"/>
        <v>8.0181818181818176</v>
      </c>
      <c r="Q27" s="1">
        <f t="shared" si="3"/>
        <v>1.1519173063162575</v>
      </c>
      <c r="R27" s="1">
        <f t="shared" si="4"/>
        <v>226.75492174835529</v>
      </c>
      <c r="S27" s="1">
        <f t="shared" si="5"/>
        <v>-0.24507825164471342</v>
      </c>
    </row>
    <row r="28" spans="1:19" x14ac:dyDescent="0.35">
      <c r="A28">
        <v>27</v>
      </c>
      <c r="B28" t="s">
        <v>12</v>
      </c>
      <c r="C28">
        <v>100</v>
      </c>
      <c r="D28" t="s">
        <v>13</v>
      </c>
      <c r="E28">
        <v>25</v>
      </c>
      <c r="F28">
        <v>0.16</v>
      </c>
      <c r="G28">
        <v>199</v>
      </c>
      <c r="H28">
        <v>27</v>
      </c>
      <c r="I28">
        <v>193</v>
      </c>
      <c r="J28">
        <v>4</v>
      </c>
      <c r="K28" t="s">
        <v>14</v>
      </c>
      <c r="L28" t="s">
        <v>15</v>
      </c>
      <c r="M28">
        <v>3</v>
      </c>
      <c r="N28">
        <f t="shared" si="0"/>
        <v>1800</v>
      </c>
      <c r="O28">
        <f t="shared" si="1"/>
        <v>1764</v>
      </c>
      <c r="P28" s="1">
        <f t="shared" si="2"/>
        <v>9.1398963730569953</v>
      </c>
      <c r="Q28" s="1">
        <f t="shared" si="3"/>
        <v>1.0105456369047168</v>
      </c>
      <c r="R28" s="1">
        <f t="shared" si="4"/>
        <v>198.92590862469348</v>
      </c>
      <c r="S28" s="1">
        <f t="shared" si="5"/>
        <v>-7.4091375306522878E-2</v>
      </c>
    </row>
    <row r="29" spans="1:19" x14ac:dyDescent="0.35">
      <c r="A29">
        <v>28</v>
      </c>
      <c r="B29" t="s">
        <v>12</v>
      </c>
      <c r="C29">
        <v>100</v>
      </c>
      <c r="D29" t="s">
        <v>13</v>
      </c>
      <c r="E29">
        <v>25</v>
      </c>
      <c r="F29">
        <v>0.16</v>
      </c>
      <c r="G29">
        <v>177</v>
      </c>
      <c r="H29">
        <v>30</v>
      </c>
      <c r="I29">
        <v>172</v>
      </c>
      <c r="J29">
        <v>4</v>
      </c>
      <c r="K29" t="s">
        <v>16</v>
      </c>
      <c r="L29" t="s">
        <v>15</v>
      </c>
      <c r="M29">
        <v>3</v>
      </c>
      <c r="N29">
        <f t="shared" si="0"/>
        <v>1800</v>
      </c>
      <c r="O29">
        <f t="shared" si="1"/>
        <v>1764</v>
      </c>
      <c r="P29" s="1">
        <f t="shared" si="2"/>
        <v>10.255813953488373</v>
      </c>
      <c r="Q29" s="1">
        <f t="shared" si="3"/>
        <v>0.90058989402907397</v>
      </c>
      <c r="R29" s="1">
        <f t="shared" si="4"/>
        <v>177.2811206396232</v>
      </c>
      <c r="S29" s="1">
        <f t="shared" si="5"/>
        <v>0.28112063962319667</v>
      </c>
    </row>
    <row r="30" spans="1:19" x14ac:dyDescent="0.35">
      <c r="A30">
        <v>29</v>
      </c>
      <c r="B30" t="s">
        <v>12</v>
      </c>
      <c r="C30">
        <v>100</v>
      </c>
      <c r="D30" t="s">
        <v>13</v>
      </c>
      <c r="E30">
        <v>25</v>
      </c>
      <c r="F30">
        <v>0.16</v>
      </c>
      <c r="G30">
        <v>157</v>
      </c>
      <c r="H30">
        <v>34</v>
      </c>
      <c r="I30">
        <v>152</v>
      </c>
      <c r="J30">
        <v>4</v>
      </c>
      <c r="K30" t="s">
        <v>16</v>
      </c>
      <c r="L30" t="s">
        <v>15</v>
      </c>
      <c r="M30">
        <v>3</v>
      </c>
      <c r="N30">
        <f t="shared" si="0"/>
        <v>1800</v>
      </c>
      <c r="O30">
        <f t="shared" si="1"/>
        <v>1764</v>
      </c>
      <c r="P30" s="1">
        <f t="shared" si="2"/>
        <v>11.605263157894736</v>
      </c>
      <c r="Q30" s="1">
        <f t="shared" si="3"/>
        <v>0.79587013890941427</v>
      </c>
      <c r="R30" s="1">
        <f t="shared" si="4"/>
        <v>156.6670368443182</v>
      </c>
      <c r="S30" s="1">
        <f t="shared" si="5"/>
        <v>-0.3329631556817958</v>
      </c>
    </row>
    <row r="31" spans="1:19" x14ac:dyDescent="0.35">
      <c r="A31">
        <v>30</v>
      </c>
      <c r="B31" t="s">
        <v>12</v>
      </c>
      <c r="C31">
        <v>100</v>
      </c>
      <c r="D31" t="s">
        <v>13</v>
      </c>
      <c r="E31">
        <v>25</v>
      </c>
      <c r="F31">
        <v>0.16</v>
      </c>
      <c r="G31">
        <v>149</v>
      </c>
      <c r="H31">
        <v>35</v>
      </c>
      <c r="I31">
        <v>145</v>
      </c>
      <c r="J31">
        <v>4</v>
      </c>
      <c r="K31" t="s">
        <v>16</v>
      </c>
      <c r="L31" t="s">
        <v>15</v>
      </c>
      <c r="M31">
        <v>3</v>
      </c>
      <c r="N31">
        <f t="shared" si="0"/>
        <v>1800</v>
      </c>
      <c r="O31">
        <f t="shared" si="1"/>
        <v>1764</v>
      </c>
      <c r="P31" s="1">
        <f t="shared" si="2"/>
        <v>12.165517241379311</v>
      </c>
      <c r="Q31" s="1">
        <f t="shared" si="3"/>
        <v>0.7592182246175333</v>
      </c>
      <c r="R31" s="1">
        <f t="shared" si="4"/>
        <v>149.45210751596142</v>
      </c>
      <c r="S31" s="1">
        <f t="shared" si="5"/>
        <v>0.45210751596141563</v>
      </c>
    </row>
    <row r="32" spans="1:19" x14ac:dyDescent="0.35">
      <c r="A32">
        <v>31</v>
      </c>
      <c r="B32" t="s">
        <v>12</v>
      </c>
      <c r="C32">
        <v>100</v>
      </c>
      <c r="D32" t="s">
        <v>13</v>
      </c>
      <c r="E32">
        <v>25</v>
      </c>
      <c r="F32">
        <v>0.16</v>
      </c>
      <c r="G32">
        <v>132</v>
      </c>
      <c r="H32">
        <v>40</v>
      </c>
      <c r="I32">
        <v>128</v>
      </c>
      <c r="J32">
        <v>4</v>
      </c>
      <c r="K32" t="s">
        <v>16</v>
      </c>
      <c r="L32" t="s">
        <v>15</v>
      </c>
      <c r="M32">
        <v>3</v>
      </c>
      <c r="N32">
        <f t="shared" si="0"/>
        <v>1800</v>
      </c>
      <c r="O32">
        <f t="shared" si="1"/>
        <v>1764</v>
      </c>
      <c r="P32" s="1">
        <f t="shared" si="2"/>
        <v>13.78125</v>
      </c>
      <c r="Q32" s="1">
        <f t="shared" si="3"/>
        <v>0.67020643276582259</v>
      </c>
      <c r="R32" s="1">
        <f t="shared" si="4"/>
        <v>131.93013628995217</v>
      </c>
      <c r="S32" s="1">
        <f t="shared" si="5"/>
        <v>-6.9863710047826544E-2</v>
      </c>
    </row>
    <row r="33" spans="1:19" x14ac:dyDescent="0.35">
      <c r="A33">
        <v>32</v>
      </c>
      <c r="B33" t="s">
        <v>12</v>
      </c>
      <c r="C33">
        <v>100</v>
      </c>
      <c r="D33" t="s">
        <v>13</v>
      </c>
      <c r="E33">
        <v>25</v>
      </c>
      <c r="F33">
        <v>0.16</v>
      </c>
      <c r="G33">
        <v>111</v>
      </c>
      <c r="H33">
        <v>48</v>
      </c>
      <c r="I33">
        <v>108</v>
      </c>
      <c r="J33">
        <v>4</v>
      </c>
      <c r="K33" t="s">
        <v>16</v>
      </c>
      <c r="L33" t="s">
        <v>15</v>
      </c>
      <c r="M33">
        <v>3</v>
      </c>
      <c r="N33">
        <f t="shared" si="0"/>
        <v>1800</v>
      </c>
      <c r="O33">
        <f t="shared" si="1"/>
        <v>1764</v>
      </c>
      <c r="P33" s="1">
        <f t="shared" si="2"/>
        <v>16.333333333333332</v>
      </c>
      <c r="Q33" s="1">
        <f t="shared" si="3"/>
        <v>0.56548667764616278</v>
      </c>
      <c r="R33" s="1">
        <f t="shared" si="4"/>
        <v>111.31605249464714</v>
      </c>
      <c r="S33" s="1">
        <f t="shared" si="5"/>
        <v>0.31605249464713836</v>
      </c>
    </row>
    <row r="34" spans="1:19" x14ac:dyDescent="0.35">
      <c r="A34">
        <v>33</v>
      </c>
      <c r="B34" t="s">
        <v>12</v>
      </c>
      <c r="C34">
        <v>100</v>
      </c>
      <c r="D34" t="s">
        <v>13</v>
      </c>
      <c r="E34">
        <v>25</v>
      </c>
      <c r="F34">
        <v>0.16</v>
      </c>
      <c r="G34">
        <v>106</v>
      </c>
      <c r="H34">
        <v>50</v>
      </c>
      <c r="I34">
        <v>103</v>
      </c>
      <c r="J34">
        <v>4</v>
      </c>
      <c r="K34" t="s">
        <v>16</v>
      </c>
      <c r="L34" t="s">
        <v>15</v>
      </c>
      <c r="M34">
        <v>3</v>
      </c>
      <c r="N34">
        <f t="shared" si="0"/>
        <v>1800</v>
      </c>
      <c r="O34">
        <f t="shared" si="1"/>
        <v>1764</v>
      </c>
      <c r="P34" s="1">
        <f t="shared" si="2"/>
        <v>17.126213592233011</v>
      </c>
      <c r="Q34" s="1">
        <f t="shared" si="3"/>
        <v>0.5393067388662478</v>
      </c>
      <c r="R34" s="1">
        <f t="shared" si="4"/>
        <v>106.16253154582088</v>
      </c>
      <c r="S34" s="1">
        <f t="shared" si="5"/>
        <v>0.16253154582088314</v>
      </c>
    </row>
    <row r="35" spans="1:19" x14ac:dyDescent="0.35">
      <c r="A35">
        <v>34</v>
      </c>
      <c r="B35" t="s">
        <v>12</v>
      </c>
      <c r="C35">
        <v>100</v>
      </c>
      <c r="D35" t="s">
        <v>13</v>
      </c>
      <c r="E35">
        <v>25</v>
      </c>
      <c r="F35">
        <v>0.16</v>
      </c>
      <c r="G35">
        <v>93</v>
      </c>
      <c r="H35">
        <v>57</v>
      </c>
      <c r="I35">
        <v>90</v>
      </c>
      <c r="J35">
        <v>4</v>
      </c>
      <c r="K35" t="s">
        <v>16</v>
      </c>
      <c r="L35" t="s">
        <v>15</v>
      </c>
      <c r="M35">
        <v>3</v>
      </c>
      <c r="N35">
        <f t="shared" si="0"/>
        <v>1800</v>
      </c>
      <c r="O35">
        <f t="shared" si="1"/>
        <v>1764</v>
      </c>
      <c r="P35" s="1">
        <f t="shared" si="2"/>
        <v>19.600000000000001</v>
      </c>
      <c r="Q35" s="1">
        <f t="shared" si="3"/>
        <v>0.47123889803846897</v>
      </c>
      <c r="R35" s="1">
        <f t="shared" si="4"/>
        <v>92.763377078872608</v>
      </c>
      <c r="S35" s="1">
        <f t="shared" si="5"/>
        <v>-0.23662292112739181</v>
      </c>
    </row>
    <row r="36" spans="1:19" x14ac:dyDescent="0.35">
      <c r="A36">
        <v>35</v>
      </c>
      <c r="B36" t="s">
        <v>12</v>
      </c>
      <c r="C36">
        <v>100</v>
      </c>
      <c r="D36" t="s">
        <v>13</v>
      </c>
      <c r="E36">
        <v>25</v>
      </c>
      <c r="F36">
        <v>0.16</v>
      </c>
      <c r="G36">
        <v>83</v>
      </c>
      <c r="H36">
        <v>64</v>
      </c>
      <c r="I36">
        <v>81</v>
      </c>
      <c r="J36">
        <v>4</v>
      </c>
      <c r="K36" t="s">
        <v>16</v>
      </c>
      <c r="L36" t="s">
        <v>15</v>
      </c>
      <c r="M36">
        <v>3</v>
      </c>
      <c r="N36">
        <f t="shared" si="0"/>
        <v>1800</v>
      </c>
      <c r="O36">
        <f t="shared" si="1"/>
        <v>1764</v>
      </c>
      <c r="P36" s="1">
        <f t="shared" si="2"/>
        <v>21.777777777777779</v>
      </c>
      <c r="Q36" s="1">
        <f t="shared" si="3"/>
        <v>0.42411500823462212</v>
      </c>
      <c r="R36" s="1">
        <f t="shared" si="4"/>
        <v>83.487039370985357</v>
      </c>
      <c r="S36" s="1">
        <f t="shared" si="5"/>
        <v>0.48703937098535732</v>
      </c>
    </row>
    <row r="37" spans="1:19" x14ac:dyDescent="0.35">
      <c r="A37">
        <v>36</v>
      </c>
      <c r="B37" t="s">
        <v>12</v>
      </c>
      <c r="C37">
        <v>100</v>
      </c>
      <c r="D37" t="s">
        <v>13</v>
      </c>
      <c r="E37">
        <v>25</v>
      </c>
      <c r="F37">
        <v>0.16</v>
      </c>
      <c r="G37">
        <v>69</v>
      </c>
      <c r="H37">
        <v>76</v>
      </c>
      <c r="I37">
        <v>67</v>
      </c>
      <c r="J37">
        <v>4</v>
      </c>
      <c r="K37" t="s">
        <v>16</v>
      </c>
      <c r="L37" t="s">
        <v>15</v>
      </c>
      <c r="M37">
        <v>3</v>
      </c>
      <c r="N37">
        <f t="shared" si="0"/>
        <v>1800</v>
      </c>
      <c r="O37">
        <f t="shared" si="1"/>
        <v>1764</v>
      </c>
      <c r="P37" s="1">
        <f t="shared" si="2"/>
        <v>26.328358208955223</v>
      </c>
      <c r="Q37" s="1">
        <f t="shared" si="3"/>
        <v>0.35081117965086023</v>
      </c>
      <c r="R37" s="1">
        <f t="shared" si="4"/>
        <v>69.057180714271837</v>
      </c>
      <c r="S37" s="1">
        <f t="shared" si="5"/>
        <v>5.7180714271837019E-2</v>
      </c>
    </row>
    <row r="38" spans="1:19" x14ac:dyDescent="0.35">
      <c r="A38">
        <v>37</v>
      </c>
      <c r="B38" t="s">
        <v>12</v>
      </c>
      <c r="C38">
        <v>100</v>
      </c>
      <c r="D38" t="s">
        <v>13</v>
      </c>
      <c r="E38">
        <v>25</v>
      </c>
      <c r="F38">
        <v>0.16</v>
      </c>
      <c r="G38">
        <v>56</v>
      </c>
      <c r="H38">
        <v>94</v>
      </c>
      <c r="I38">
        <v>54</v>
      </c>
      <c r="J38">
        <v>4</v>
      </c>
      <c r="K38" t="s">
        <v>16</v>
      </c>
      <c r="L38" t="s">
        <v>15</v>
      </c>
      <c r="M38">
        <v>3</v>
      </c>
      <c r="N38">
        <f t="shared" si="0"/>
        <v>1800</v>
      </c>
      <c r="O38">
        <f t="shared" si="1"/>
        <v>1764</v>
      </c>
      <c r="P38" s="1">
        <f t="shared" si="2"/>
        <v>32.666666666666664</v>
      </c>
      <c r="Q38" s="1">
        <f t="shared" si="3"/>
        <v>0.28274333882308139</v>
      </c>
      <c r="R38" s="1">
        <f t="shared" si="4"/>
        <v>55.658026247323569</v>
      </c>
      <c r="S38" s="1">
        <f t="shared" si="5"/>
        <v>-0.34197375267643082</v>
      </c>
    </row>
    <row r="39" spans="1:19" x14ac:dyDescent="0.35">
      <c r="A39">
        <v>38</v>
      </c>
      <c r="B39" t="s">
        <v>12</v>
      </c>
      <c r="C39">
        <v>100</v>
      </c>
      <c r="D39" t="s">
        <v>13</v>
      </c>
      <c r="E39">
        <v>25</v>
      </c>
      <c r="F39">
        <v>0.16</v>
      </c>
      <c r="G39">
        <v>44</v>
      </c>
      <c r="H39">
        <v>121</v>
      </c>
      <c r="I39">
        <v>43</v>
      </c>
      <c r="J39">
        <v>4</v>
      </c>
      <c r="K39" t="s">
        <v>17</v>
      </c>
      <c r="L39" t="s">
        <v>15</v>
      </c>
      <c r="M39">
        <v>3</v>
      </c>
      <c r="N39">
        <f t="shared" si="0"/>
        <v>1800</v>
      </c>
      <c r="O39">
        <f t="shared" si="1"/>
        <v>1764</v>
      </c>
      <c r="P39" s="1">
        <f t="shared" si="2"/>
        <v>41.02325581395349</v>
      </c>
      <c r="Q39" s="1">
        <f t="shared" si="3"/>
        <v>0.22514747350726849</v>
      </c>
      <c r="R39" s="1">
        <f t="shared" si="4"/>
        <v>44.320280159905799</v>
      </c>
      <c r="S39" s="1">
        <f t="shared" si="5"/>
        <v>0.32028015990579917</v>
      </c>
    </row>
    <row r="40" spans="1:19" x14ac:dyDescent="0.35">
      <c r="A40">
        <v>39</v>
      </c>
      <c r="B40" t="s">
        <v>12</v>
      </c>
      <c r="C40">
        <v>100</v>
      </c>
      <c r="D40" t="s">
        <v>13</v>
      </c>
      <c r="E40">
        <v>25</v>
      </c>
      <c r="F40">
        <v>0.16</v>
      </c>
      <c r="G40">
        <v>37</v>
      </c>
      <c r="H40">
        <v>144</v>
      </c>
      <c r="I40">
        <v>36</v>
      </c>
      <c r="J40">
        <v>4</v>
      </c>
      <c r="K40" t="s">
        <v>17</v>
      </c>
      <c r="L40" t="s">
        <v>15</v>
      </c>
      <c r="M40">
        <v>3</v>
      </c>
      <c r="N40">
        <f t="shared" si="0"/>
        <v>1800</v>
      </c>
      <c r="O40">
        <f t="shared" si="1"/>
        <v>1764</v>
      </c>
      <c r="P40" s="1">
        <f t="shared" si="2"/>
        <v>49</v>
      </c>
      <c r="Q40" s="1">
        <f t="shared" si="3"/>
        <v>0.1884955592153876</v>
      </c>
      <c r="R40" s="1">
        <f t="shared" si="4"/>
        <v>37.105350831549046</v>
      </c>
      <c r="S40" s="1">
        <f t="shared" si="5"/>
        <v>0.10535083154904612</v>
      </c>
    </row>
    <row r="41" spans="1:19" x14ac:dyDescent="0.35">
      <c r="A41">
        <v>40</v>
      </c>
      <c r="B41" t="s">
        <v>12</v>
      </c>
      <c r="C41">
        <v>100</v>
      </c>
      <c r="D41" t="s">
        <v>13</v>
      </c>
      <c r="E41">
        <v>25</v>
      </c>
      <c r="F41">
        <v>0.16</v>
      </c>
      <c r="G41">
        <v>33</v>
      </c>
      <c r="H41">
        <v>162</v>
      </c>
      <c r="I41">
        <v>32</v>
      </c>
      <c r="J41">
        <v>4</v>
      </c>
      <c r="K41" t="s">
        <v>17</v>
      </c>
      <c r="L41" t="s">
        <v>15</v>
      </c>
      <c r="M41">
        <v>3</v>
      </c>
      <c r="N41">
        <f t="shared" si="0"/>
        <v>1800</v>
      </c>
      <c r="O41">
        <f t="shared" si="1"/>
        <v>1764</v>
      </c>
      <c r="P41" s="1">
        <f t="shared" si="2"/>
        <v>55.125</v>
      </c>
      <c r="Q41" s="1">
        <f t="shared" si="3"/>
        <v>0.16755160819145565</v>
      </c>
      <c r="R41" s="1">
        <f t="shared" si="4"/>
        <v>32.982534072488043</v>
      </c>
      <c r="S41" s="1">
        <f t="shared" si="5"/>
        <v>-1.7465927511956636E-2</v>
      </c>
    </row>
    <row r="42" spans="1:19" x14ac:dyDescent="0.35">
      <c r="A42">
        <v>41</v>
      </c>
      <c r="B42" t="s">
        <v>12</v>
      </c>
      <c r="C42">
        <v>100</v>
      </c>
      <c r="D42" t="s">
        <v>13</v>
      </c>
      <c r="E42">
        <v>25</v>
      </c>
      <c r="F42">
        <v>0.16</v>
      </c>
      <c r="G42">
        <v>27</v>
      </c>
      <c r="H42">
        <v>193</v>
      </c>
      <c r="I42">
        <v>26</v>
      </c>
      <c r="J42">
        <v>4</v>
      </c>
      <c r="K42" t="s">
        <v>17</v>
      </c>
      <c r="L42" t="s">
        <v>15</v>
      </c>
      <c r="M42">
        <v>3</v>
      </c>
      <c r="N42">
        <f t="shared" si="0"/>
        <v>1800</v>
      </c>
      <c r="O42">
        <f t="shared" si="1"/>
        <v>1764</v>
      </c>
      <c r="P42" s="1">
        <f t="shared" si="2"/>
        <v>67.84615384615384</v>
      </c>
      <c r="Q42" s="1">
        <f t="shared" si="3"/>
        <v>0.13613568165555773</v>
      </c>
      <c r="R42" s="1">
        <f t="shared" si="4"/>
        <v>26.798308933896539</v>
      </c>
      <c r="S42" s="1">
        <f t="shared" si="5"/>
        <v>-0.20169106610346077</v>
      </c>
    </row>
    <row r="43" spans="1:19" x14ac:dyDescent="0.35">
      <c r="A43">
        <v>42</v>
      </c>
      <c r="B43" t="s">
        <v>12</v>
      </c>
      <c r="C43">
        <v>100</v>
      </c>
      <c r="D43" t="s">
        <v>13</v>
      </c>
      <c r="E43">
        <v>25</v>
      </c>
      <c r="F43">
        <v>0.16</v>
      </c>
      <c r="G43">
        <v>23</v>
      </c>
      <c r="H43">
        <v>230</v>
      </c>
      <c r="I43">
        <v>22</v>
      </c>
      <c r="J43">
        <v>4</v>
      </c>
      <c r="K43" t="s">
        <v>17</v>
      </c>
      <c r="L43" t="s">
        <v>15</v>
      </c>
      <c r="M43">
        <v>3</v>
      </c>
      <c r="N43">
        <f t="shared" si="0"/>
        <v>1800</v>
      </c>
      <c r="O43">
        <f t="shared" si="1"/>
        <v>1764</v>
      </c>
      <c r="P43" s="1">
        <f t="shared" si="2"/>
        <v>80.181818181818187</v>
      </c>
      <c r="Q43" s="1">
        <f t="shared" si="3"/>
        <v>0.11519173063162574</v>
      </c>
      <c r="R43" s="1">
        <f t="shared" si="4"/>
        <v>22.675492174835526</v>
      </c>
      <c r="S43" s="1">
        <f t="shared" si="5"/>
        <v>-0.32450782516447418</v>
      </c>
    </row>
    <row r="44" spans="1:19" x14ac:dyDescent="0.35">
      <c r="A44">
        <v>43</v>
      </c>
      <c r="B44" t="s">
        <v>12</v>
      </c>
      <c r="C44">
        <v>100</v>
      </c>
      <c r="D44" t="s">
        <v>13</v>
      </c>
      <c r="E44">
        <v>25</v>
      </c>
      <c r="F44">
        <v>0.16</v>
      </c>
      <c r="G44">
        <v>20</v>
      </c>
      <c r="H44">
        <v>259</v>
      </c>
      <c r="I44">
        <v>19</v>
      </c>
      <c r="J44">
        <v>4</v>
      </c>
      <c r="K44" t="s">
        <v>17</v>
      </c>
      <c r="L44" t="s">
        <v>15</v>
      </c>
      <c r="M44">
        <v>3</v>
      </c>
      <c r="N44">
        <f t="shared" si="0"/>
        <v>1800</v>
      </c>
      <c r="O44">
        <f t="shared" si="1"/>
        <v>1764</v>
      </c>
      <c r="P44" s="1">
        <f t="shared" si="2"/>
        <v>92.84210526315789</v>
      </c>
      <c r="Q44" s="1">
        <f t="shared" si="3"/>
        <v>9.9483767363676784E-2</v>
      </c>
      <c r="R44" s="1">
        <f t="shared" si="4"/>
        <v>19.583379605539776</v>
      </c>
      <c r="S44" s="1">
        <f t="shared" si="5"/>
        <v>-0.41662039446022447</v>
      </c>
    </row>
    <row r="45" spans="1:19" x14ac:dyDescent="0.35">
      <c r="A45">
        <v>44</v>
      </c>
      <c r="B45" t="s">
        <v>12</v>
      </c>
      <c r="C45">
        <v>100</v>
      </c>
      <c r="D45" t="s">
        <v>13</v>
      </c>
      <c r="E45">
        <v>25</v>
      </c>
      <c r="F45">
        <v>0.16</v>
      </c>
      <c r="G45">
        <v>17</v>
      </c>
      <c r="H45">
        <v>274</v>
      </c>
      <c r="I45">
        <v>17</v>
      </c>
      <c r="J45">
        <v>4</v>
      </c>
      <c r="K45" t="s">
        <v>17</v>
      </c>
      <c r="L45" t="s">
        <v>15</v>
      </c>
      <c r="M45">
        <v>3</v>
      </c>
      <c r="N45">
        <f t="shared" si="0"/>
        <v>1800</v>
      </c>
      <c r="O45">
        <f t="shared" si="1"/>
        <v>1764</v>
      </c>
      <c r="P45" s="1">
        <f t="shared" si="2"/>
        <v>103.76470588235294</v>
      </c>
      <c r="Q45" s="1">
        <f t="shared" si="3"/>
        <v>8.901179185171082E-2</v>
      </c>
      <c r="R45" s="1">
        <f t="shared" si="4"/>
        <v>17.521971226009274</v>
      </c>
      <c r="S45" s="1">
        <f t="shared" si="5"/>
        <v>0.52197122600927415</v>
      </c>
    </row>
    <row r="46" spans="1:19" x14ac:dyDescent="0.35">
      <c r="A46">
        <v>45</v>
      </c>
      <c r="B46" t="s">
        <v>12</v>
      </c>
      <c r="C46">
        <v>100</v>
      </c>
      <c r="D46" t="s">
        <v>13</v>
      </c>
      <c r="E46">
        <v>25</v>
      </c>
      <c r="F46">
        <v>0.16</v>
      </c>
      <c r="G46">
        <v>14</v>
      </c>
      <c r="H46">
        <v>274</v>
      </c>
      <c r="I46">
        <v>14</v>
      </c>
      <c r="J46">
        <v>4</v>
      </c>
      <c r="K46" t="s">
        <v>17</v>
      </c>
      <c r="L46" t="s">
        <v>15</v>
      </c>
      <c r="M46">
        <v>3</v>
      </c>
      <c r="N46">
        <f t="shared" si="0"/>
        <v>1800</v>
      </c>
      <c r="O46">
        <f t="shared" si="1"/>
        <v>1764</v>
      </c>
      <c r="P46" s="1">
        <f t="shared" si="2"/>
        <v>126</v>
      </c>
      <c r="Q46" s="1">
        <f t="shared" si="3"/>
        <v>7.3303828583761846E-2</v>
      </c>
      <c r="R46" s="1">
        <f t="shared" si="4"/>
        <v>14.429858656713519</v>
      </c>
      <c r="S46" s="1">
        <f t="shared" si="5"/>
        <v>0.42985865671351853</v>
      </c>
    </row>
    <row r="47" spans="1:19" x14ac:dyDescent="0.35">
      <c r="A47">
        <v>46</v>
      </c>
      <c r="B47" t="s">
        <v>12</v>
      </c>
      <c r="C47">
        <v>100</v>
      </c>
      <c r="D47" t="s">
        <v>13</v>
      </c>
      <c r="E47">
        <v>25</v>
      </c>
      <c r="F47">
        <v>0.16</v>
      </c>
      <c r="G47">
        <v>305</v>
      </c>
      <c r="H47">
        <v>17</v>
      </c>
      <c r="I47">
        <v>296</v>
      </c>
      <c r="J47">
        <v>6</v>
      </c>
      <c r="K47" t="s">
        <v>14</v>
      </c>
      <c r="L47" t="s">
        <v>15</v>
      </c>
      <c r="M47">
        <v>3</v>
      </c>
      <c r="N47">
        <f t="shared" si="0"/>
        <v>1200</v>
      </c>
      <c r="O47">
        <f t="shared" si="1"/>
        <v>1176</v>
      </c>
      <c r="P47" s="1">
        <f t="shared" si="2"/>
        <v>3.9729729729729728</v>
      </c>
      <c r="Q47" s="1">
        <f t="shared" si="3"/>
        <v>1.5498523757709648</v>
      </c>
      <c r="R47" s="1">
        <f t="shared" si="4"/>
        <v>305.08844017051439</v>
      </c>
      <c r="S47" s="1">
        <f t="shared" si="5"/>
        <v>8.8440170514388683E-2</v>
      </c>
    </row>
    <row r="48" spans="1:19" x14ac:dyDescent="0.35">
      <c r="A48">
        <v>47</v>
      </c>
      <c r="B48" t="s">
        <v>12</v>
      </c>
      <c r="C48">
        <v>100</v>
      </c>
      <c r="D48" t="s">
        <v>13</v>
      </c>
      <c r="E48">
        <v>25</v>
      </c>
      <c r="F48">
        <v>0.16</v>
      </c>
      <c r="G48">
        <v>273</v>
      </c>
      <c r="H48">
        <v>19</v>
      </c>
      <c r="I48">
        <v>265</v>
      </c>
      <c r="J48">
        <v>6</v>
      </c>
      <c r="K48" t="s">
        <v>14</v>
      </c>
      <c r="L48" t="s">
        <v>15</v>
      </c>
      <c r="M48">
        <v>3</v>
      </c>
      <c r="N48">
        <f t="shared" si="0"/>
        <v>1200</v>
      </c>
      <c r="O48">
        <f t="shared" si="1"/>
        <v>1176</v>
      </c>
      <c r="P48" s="1">
        <f t="shared" si="2"/>
        <v>4.4377358490566037</v>
      </c>
      <c r="Q48" s="1">
        <f t="shared" si="3"/>
        <v>1.387536755335492</v>
      </c>
      <c r="R48" s="1">
        <f t="shared" si="4"/>
        <v>273.1366102877916</v>
      </c>
      <c r="S48" s="1">
        <f t="shared" si="5"/>
        <v>0.13661028779159778</v>
      </c>
    </row>
    <row r="49" spans="1:19" x14ac:dyDescent="0.35">
      <c r="A49">
        <v>48</v>
      </c>
      <c r="B49" t="s">
        <v>12</v>
      </c>
      <c r="C49">
        <v>100</v>
      </c>
      <c r="D49" t="s">
        <v>13</v>
      </c>
      <c r="E49">
        <v>25</v>
      </c>
      <c r="F49">
        <v>0.16</v>
      </c>
      <c r="G49">
        <v>218</v>
      </c>
      <c r="H49">
        <v>24</v>
      </c>
      <c r="I49">
        <v>212</v>
      </c>
      <c r="J49">
        <v>6</v>
      </c>
      <c r="K49" t="s">
        <v>14</v>
      </c>
      <c r="L49" t="s">
        <v>15</v>
      </c>
      <c r="M49">
        <v>3</v>
      </c>
      <c r="N49">
        <f t="shared" si="0"/>
        <v>1200</v>
      </c>
      <c r="O49">
        <f t="shared" si="1"/>
        <v>1176</v>
      </c>
      <c r="P49" s="1">
        <f t="shared" si="2"/>
        <v>5.5471698113207548</v>
      </c>
      <c r="Q49" s="1">
        <f t="shared" si="3"/>
        <v>1.1100294042683936</v>
      </c>
      <c r="R49" s="1">
        <f t="shared" si="4"/>
        <v>218.50928823023327</v>
      </c>
      <c r="S49" s="1">
        <f t="shared" si="5"/>
        <v>0.50928823023326686</v>
      </c>
    </row>
    <row r="50" spans="1:19" x14ac:dyDescent="0.35">
      <c r="A50">
        <v>49</v>
      </c>
      <c r="B50" t="s">
        <v>12</v>
      </c>
      <c r="C50">
        <v>100</v>
      </c>
      <c r="D50" t="s">
        <v>13</v>
      </c>
      <c r="E50">
        <v>25</v>
      </c>
      <c r="F50">
        <v>0.16</v>
      </c>
      <c r="G50">
        <v>194</v>
      </c>
      <c r="H50">
        <v>27</v>
      </c>
      <c r="I50">
        <v>188</v>
      </c>
      <c r="J50">
        <v>6</v>
      </c>
      <c r="K50" t="s">
        <v>14</v>
      </c>
      <c r="L50" t="s">
        <v>15</v>
      </c>
      <c r="M50">
        <v>3</v>
      </c>
      <c r="N50">
        <f t="shared" si="0"/>
        <v>1200</v>
      </c>
      <c r="O50">
        <f t="shared" si="1"/>
        <v>1176</v>
      </c>
      <c r="P50" s="1">
        <f t="shared" si="2"/>
        <v>6.2553191489361701</v>
      </c>
      <c r="Q50" s="1">
        <f t="shared" si="3"/>
        <v>0.9843656981248019</v>
      </c>
      <c r="R50" s="1">
        <f t="shared" si="4"/>
        <v>193.77238767586724</v>
      </c>
      <c r="S50" s="1">
        <f t="shared" si="5"/>
        <v>-0.22761232413276389</v>
      </c>
    </row>
    <row r="51" spans="1:19" x14ac:dyDescent="0.35">
      <c r="A51">
        <v>50</v>
      </c>
      <c r="B51" t="s">
        <v>12</v>
      </c>
      <c r="C51">
        <v>100</v>
      </c>
      <c r="D51" t="s">
        <v>13</v>
      </c>
      <c r="E51">
        <v>25</v>
      </c>
      <c r="F51">
        <v>0.16</v>
      </c>
      <c r="G51">
        <v>172</v>
      </c>
      <c r="H51">
        <v>31</v>
      </c>
      <c r="I51">
        <v>167</v>
      </c>
      <c r="J51">
        <v>6</v>
      </c>
      <c r="K51" t="s">
        <v>14</v>
      </c>
      <c r="L51" t="s">
        <v>15</v>
      </c>
      <c r="M51">
        <v>3</v>
      </c>
      <c r="N51">
        <f t="shared" si="0"/>
        <v>1200</v>
      </c>
      <c r="O51">
        <f t="shared" si="1"/>
        <v>1176</v>
      </c>
      <c r="P51" s="1">
        <f t="shared" si="2"/>
        <v>7.0419161676646711</v>
      </c>
      <c r="Q51" s="1">
        <f t="shared" si="3"/>
        <v>0.87440995524915932</v>
      </c>
      <c r="R51" s="1">
        <f t="shared" si="4"/>
        <v>172.12759969079701</v>
      </c>
      <c r="S51" s="1">
        <f t="shared" si="5"/>
        <v>0.1275996907970125</v>
      </c>
    </row>
    <row r="52" spans="1:19" x14ac:dyDescent="0.35">
      <c r="A52">
        <v>51</v>
      </c>
      <c r="B52" t="s">
        <v>12</v>
      </c>
      <c r="C52">
        <v>100</v>
      </c>
      <c r="D52" t="s">
        <v>13</v>
      </c>
      <c r="E52">
        <v>25</v>
      </c>
      <c r="F52">
        <v>0.16</v>
      </c>
      <c r="G52">
        <v>152</v>
      </c>
      <c r="H52">
        <v>35</v>
      </c>
      <c r="I52">
        <v>148</v>
      </c>
      <c r="J52">
        <v>6</v>
      </c>
      <c r="K52" t="s">
        <v>14</v>
      </c>
      <c r="L52" t="s">
        <v>15</v>
      </c>
      <c r="M52">
        <v>3</v>
      </c>
      <c r="N52">
        <f t="shared" si="0"/>
        <v>1200</v>
      </c>
      <c r="O52">
        <f t="shared" si="1"/>
        <v>1176</v>
      </c>
      <c r="P52" s="1">
        <f t="shared" si="2"/>
        <v>7.9459459459459456</v>
      </c>
      <c r="Q52" s="1">
        <f t="shared" si="3"/>
        <v>0.7749261878854824</v>
      </c>
      <c r="R52" s="1">
        <f t="shared" si="4"/>
        <v>152.54422008525719</v>
      </c>
      <c r="S52" s="1">
        <f t="shared" si="5"/>
        <v>0.54422008525719434</v>
      </c>
    </row>
    <row r="53" spans="1:19" x14ac:dyDescent="0.35">
      <c r="A53">
        <v>52</v>
      </c>
      <c r="B53" t="s">
        <v>12</v>
      </c>
      <c r="C53">
        <v>100</v>
      </c>
      <c r="D53" t="s">
        <v>13</v>
      </c>
      <c r="E53">
        <v>25</v>
      </c>
      <c r="F53">
        <v>0.16</v>
      </c>
      <c r="G53">
        <v>105</v>
      </c>
      <c r="H53">
        <v>50</v>
      </c>
      <c r="I53">
        <v>102</v>
      </c>
      <c r="J53">
        <v>6</v>
      </c>
      <c r="K53" t="s">
        <v>16</v>
      </c>
      <c r="L53" t="s">
        <v>15</v>
      </c>
      <c r="M53">
        <v>3</v>
      </c>
      <c r="N53">
        <f t="shared" si="0"/>
        <v>1200</v>
      </c>
      <c r="O53">
        <f t="shared" si="1"/>
        <v>1176</v>
      </c>
      <c r="P53" s="1">
        <f t="shared" si="2"/>
        <v>11.529411764705882</v>
      </c>
      <c r="Q53" s="1">
        <f t="shared" si="3"/>
        <v>0.53407075111026481</v>
      </c>
      <c r="R53" s="1">
        <f t="shared" si="4"/>
        <v>105.13182735605562</v>
      </c>
      <c r="S53" s="1">
        <f t="shared" si="5"/>
        <v>0.13182735605562357</v>
      </c>
    </row>
    <row r="54" spans="1:19" x14ac:dyDescent="0.35">
      <c r="A54">
        <v>53</v>
      </c>
      <c r="B54" t="s">
        <v>12</v>
      </c>
      <c r="C54">
        <v>100</v>
      </c>
      <c r="D54" t="s">
        <v>13</v>
      </c>
      <c r="E54">
        <v>25</v>
      </c>
      <c r="F54">
        <v>0.16</v>
      </c>
      <c r="G54">
        <v>99</v>
      </c>
      <c r="H54">
        <v>53</v>
      </c>
      <c r="I54">
        <v>96</v>
      </c>
      <c r="J54">
        <v>6</v>
      </c>
      <c r="K54" t="s">
        <v>16</v>
      </c>
      <c r="L54" t="s">
        <v>15</v>
      </c>
      <c r="M54">
        <v>3</v>
      </c>
      <c r="N54">
        <f t="shared" si="0"/>
        <v>1200</v>
      </c>
      <c r="O54">
        <f t="shared" si="1"/>
        <v>1176</v>
      </c>
      <c r="P54" s="1">
        <f t="shared" si="2"/>
        <v>12.25</v>
      </c>
      <c r="Q54" s="1">
        <f t="shared" si="3"/>
        <v>0.50265482457436694</v>
      </c>
      <c r="R54" s="1">
        <f t="shared" si="4"/>
        <v>98.947602217464123</v>
      </c>
      <c r="S54" s="1">
        <f t="shared" si="5"/>
        <v>-5.2397782535877013E-2</v>
      </c>
    </row>
    <row r="55" spans="1:19" x14ac:dyDescent="0.35">
      <c r="A55">
        <v>54</v>
      </c>
      <c r="B55" t="s">
        <v>12</v>
      </c>
      <c r="C55">
        <v>100</v>
      </c>
      <c r="D55" t="s">
        <v>13</v>
      </c>
      <c r="E55">
        <v>25</v>
      </c>
      <c r="F55">
        <v>0.16</v>
      </c>
      <c r="G55">
        <v>88</v>
      </c>
      <c r="H55">
        <v>60</v>
      </c>
      <c r="I55">
        <v>85</v>
      </c>
      <c r="J55">
        <v>6</v>
      </c>
      <c r="K55" t="s">
        <v>16</v>
      </c>
      <c r="L55" t="s">
        <v>15</v>
      </c>
      <c r="M55">
        <v>3</v>
      </c>
      <c r="N55">
        <f t="shared" si="0"/>
        <v>1200</v>
      </c>
      <c r="O55">
        <f t="shared" si="1"/>
        <v>1176</v>
      </c>
      <c r="P55" s="1">
        <f t="shared" si="2"/>
        <v>13.835294117647059</v>
      </c>
      <c r="Q55" s="1">
        <f t="shared" si="3"/>
        <v>0.4450589592585541</v>
      </c>
      <c r="R55" s="1">
        <f t="shared" si="4"/>
        <v>87.609856130046367</v>
      </c>
      <c r="S55" s="1">
        <f t="shared" si="5"/>
        <v>-0.39014386995363282</v>
      </c>
    </row>
    <row r="56" spans="1:19" x14ac:dyDescent="0.35">
      <c r="A56">
        <v>55</v>
      </c>
      <c r="B56" t="s">
        <v>12</v>
      </c>
      <c r="C56">
        <v>100</v>
      </c>
      <c r="D56" t="s">
        <v>13</v>
      </c>
      <c r="E56">
        <v>25</v>
      </c>
      <c r="F56">
        <v>0.16</v>
      </c>
      <c r="G56">
        <v>74</v>
      </c>
      <c r="H56">
        <v>71</v>
      </c>
      <c r="I56">
        <v>72</v>
      </c>
      <c r="J56">
        <v>6</v>
      </c>
      <c r="K56" t="s">
        <v>16</v>
      </c>
      <c r="L56" t="s">
        <v>15</v>
      </c>
      <c r="M56">
        <v>3</v>
      </c>
      <c r="N56">
        <f t="shared" si="0"/>
        <v>1200</v>
      </c>
      <c r="O56">
        <f t="shared" si="1"/>
        <v>1176</v>
      </c>
      <c r="P56" s="1">
        <f t="shared" si="2"/>
        <v>16.333333333333332</v>
      </c>
      <c r="Q56" s="1">
        <f t="shared" si="3"/>
        <v>0.37699111843077521</v>
      </c>
      <c r="R56" s="1">
        <f t="shared" si="4"/>
        <v>74.210701663098092</v>
      </c>
      <c r="S56" s="1">
        <f t="shared" si="5"/>
        <v>0.21070166309809224</v>
      </c>
    </row>
    <row r="57" spans="1:19" x14ac:dyDescent="0.35">
      <c r="A57">
        <v>56</v>
      </c>
      <c r="B57" t="s">
        <v>12</v>
      </c>
      <c r="C57">
        <v>100</v>
      </c>
      <c r="D57" t="s">
        <v>13</v>
      </c>
      <c r="E57">
        <v>25</v>
      </c>
      <c r="F57">
        <v>0.16</v>
      </c>
      <c r="G57">
        <v>71</v>
      </c>
      <c r="H57">
        <v>74</v>
      </c>
      <c r="I57">
        <v>69</v>
      </c>
      <c r="J57">
        <v>6</v>
      </c>
      <c r="K57" t="s">
        <v>16</v>
      </c>
      <c r="L57" t="s">
        <v>15</v>
      </c>
      <c r="M57">
        <v>3</v>
      </c>
      <c r="N57">
        <f t="shared" si="0"/>
        <v>1200</v>
      </c>
      <c r="O57">
        <f t="shared" si="1"/>
        <v>1176</v>
      </c>
      <c r="P57" s="1">
        <f t="shared" si="2"/>
        <v>17.043478260869566</v>
      </c>
      <c r="Q57" s="1">
        <f t="shared" si="3"/>
        <v>0.36128315516282622</v>
      </c>
      <c r="R57" s="1">
        <f t="shared" si="4"/>
        <v>71.118589093802342</v>
      </c>
      <c r="S57" s="1">
        <f t="shared" si="5"/>
        <v>0.11858909380234195</v>
      </c>
    </row>
    <row r="58" spans="1:19" x14ac:dyDescent="0.35">
      <c r="A58">
        <v>57</v>
      </c>
      <c r="B58" t="s">
        <v>12</v>
      </c>
      <c r="C58">
        <v>100</v>
      </c>
      <c r="D58" t="s">
        <v>13</v>
      </c>
      <c r="E58">
        <v>25</v>
      </c>
      <c r="F58">
        <v>0.16</v>
      </c>
      <c r="G58">
        <v>62</v>
      </c>
      <c r="H58">
        <v>85</v>
      </c>
      <c r="I58">
        <v>60</v>
      </c>
      <c r="J58">
        <v>6</v>
      </c>
      <c r="K58" t="s">
        <v>16</v>
      </c>
      <c r="L58" t="s">
        <v>15</v>
      </c>
      <c r="M58">
        <v>3</v>
      </c>
      <c r="N58">
        <f t="shared" si="0"/>
        <v>1200</v>
      </c>
      <c r="O58">
        <f t="shared" si="1"/>
        <v>1176</v>
      </c>
      <c r="P58" s="1">
        <f t="shared" si="2"/>
        <v>19.600000000000001</v>
      </c>
      <c r="Q58" s="1">
        <f t="shared" si="3"/>
        <v>0.31415926535897931</v>
      </c>
      <c r="R58" s="1">
        <f t="shared" si="4"/>
        <v>61.842251385915077</v>
      </c>
      <c r="S58" s="1">
        <f t="shared" si="5"/>
        <v>-0.15774861408492313</v>
      </c>
    </row>
    <row r="59" spans="1:19" x14ac:dyDescent="0.35">
      <c r="A59">
        <v>58</v>
      </c>
      <c r="B59" t="s">
        <v>12</v>
      </c>
      <c r="C59">
        <v>100</v>
      </c>
      <c r="D59" t="s">
        <v>13</v>
      </c>
      <c r="E59">
        <v>25</v>
      </c>
      <c r="F59">
        <v>0.16</v>
      </c>
      <c r="G59">
        <v>55</v>
      </c>
      <c r="H59">
        <v>96</v>
      </c>
      <c r="I59">
        <v>53</v>
      </c>
      <c r="J59">
        <v>6</v>
      </c>
      <c r="K59" t="s">
        <v>16</v>
      </c>
      <c r="L59" t="s">
        <v>15</v>
      </c>
      <c r="M59">
        <v>3</v>
      </c>
      <c r="N59">
        <f t="shared" si="0"/>
        <v>1200</v>
      </c>
      <c r="O59">
        <f t="shared" si="1"/>
        <v>1176</v>
      </c>
      <c r="P59" s="1">
        <f t="shared" si="2"/>
        <v>22.188679245283019</v>
      </c>
      <c r="Q59" s="1">
        <f t="shared" si="3"/>
        <v>0.2775073510670984</v>
      </c>
      <c r="R59" s="1">
        <f t="shared" si="4"/>
        <v>54.627322057558317</v>
      </c>
      <c r="S59" s="1">
        <f t="shared" si="5"/>
        <v>-0.37267794244168329</v>
      </c>
    </row>
    <row r="60" spans="1:19" x14ac:dyDescent="0.35">
      <c r="A60">
        <v>59</v>
      </c>
      <c r="B60" t="s">
        <v>12</v>
      </c>
      <c r="C60">
        <v>100</v>
      </c>
      <c r="D60" t="s">
        <v>13</v>
      </c>
      <c r="E60">
        <v>25</v>
      </c>
      <c r="F60">
        <v>0.16</v>
      </c>
      <c r="G60">
        <v>46</v>
      </c>
      <c r="H60">
        <v>114</v>
      </c>
      <c r="I60">
        <v>45</v>
      </c>
      <c r="J60">
        <v>6</v>
      </c>
      <c r="K60" t="s">
        <v>16</v>
      </c>
      <c r="L60" t="s">
        <v>15</v>
      </c>
      <c r="M60">
        <v>3</v>
      </c>
      <c r="N60">
        <f t="shared" si="0"/>
        <v>1200</v>
      </c>
      <c r="O60">
        <f t="shared" si="1"/>
        <v>1176</v>
      </c>
      <c r="P60" s="1">
        <f t="shared" si="2"/>
        <v>26.133333333333333</v>
      </c>
      <c r="Q60" s="1">
        <f t="shared" si="3"/>
        <v>0.23561944901923448</v>
      </c>
      <c r="R60" s="1">
        <f t="shared" si="4"/>
        <v>46.381688539436304</v>
      </c>
      <c r="S60" s="1">
        <f t="shared" si="5"/>
        <v>0.3816885394363041</v>
      </c>
    </row>
    <row r="61" spans="1:19" x14ac:dyDescent="0.35">
      <c r="A61">
        <v>60</v>
      </c>
      <c r="B61" t="s">
        <v>12</v>
      </c>
      <c r="C61">
        <v>100</v>
      </c>
      <c r="D61" t="s">
        <v>13</v>
      </c>
      <c r="E61">
        <v>25</v>
      </c>
      <c r="F61">
        <v>0.16</v>
      </c>
      <c r="G61">
        <v>37</v>
      </c>
      <c r="H61">
        <v>142</v>
      </c>
      <c r="I61">
        <v>36</v>
      </c>
      <c r="J61">
        <v>6</v>
      </c>
      <c r="K61" t="s">
        <v>16</v>
      </c>
      <c r="L61" t="s">
        <v>15</v>
      </c>
      <c r="M61">
        <v>3</v>
      </c>
      <c r="N61">
        <f t="shared" si="0"/>
        <v>1200</v>
      </c>
      <c r="O61">
        <f t="shared" si="1"/>
        <v>1176</v>
      </c>
      <c r="P61" s="1">
        <f t="shared" si="2"/>
        <v>32.666666666666664</v>
      </c>
      <c r="Q61" s="1">
        <f t="shared" si="3"/>
        <v>0.1884955592153876</v>
      </c>
      <c r="R61" s="1">
        <f t="shared" si="4"/>
        <v>37.105350831549046</v>
      </c>
      <c r="S61" s="1">
        <f t="shared" si="5"/>
        <v>0.10535083154904612</v>
      </c>
    </row>
    <row r="62" spans="1:19" x14ac:dyDescent="0.35">
      <c r="A62">
        <v>61</v>
      </c>
      <c r="B62" t="s">
        <v>12</v>
      </c>
      <c r="C62">
        <v>100</v>
      </c>
      <c r="D62" t="s">
        <v>13</v>
      </c>
      <c r="E62">
        <v>25</v>
      </c>
      <c r="F62">
        <v>0.16</v>
      </c>
      <c r="G62">
        <v>29</v>
      </c>
      <c r="H62">
        <v>181</v>
      </c>
      <c r="I62">
        <v>28</v>
      </c>
      <c r="J62">
        <v>6</v>
      </c>
      <c r="K62" t="s">
        <v>17</v>
      </c>
      <c r="L62" t="s">
        <v>15</v>
      </c>
      <c r="M62">
        <v>3</v>
      </c>
      <c r="N62">
        <f t="shared" si="0"/>
        <v>1200</v>
      </c>
      <c r="O62">
        <f t="shared" si="1"/>
        <v>1176</v>
      </c>
      <c r="P62" s="1">
        <f t="shared" si="2"/>
        <v>42</v>
      </c>
      <c r="Q62" s="1">
        <f t="shared" si="3"/>
        <v>0.14660765716752369</v>
      </c>
      <c r="R62" s="1">
        <f t="shared" si="4"/>
        <v>28.859717313427037</v>
      </c>
      <c r="S62" s="1">
        <f t="shared" si="5"/>
        <v>-0.14028268657296294</v>
      </c>
    </row>
    <row r="63" spans="1:19" x14ac:dyDescent="0.35">
      <c r="A63">
        <v>62</v>
      </c>
      <c r="B63" t="s">
        <v>12</v>
      </c>
      <c r="C63">
        <v>100</v>
      </c>
      <c r="D63" t="s">
        <v>13</v>
      </c>
      <c r="E63">
        <v>25</v>
      </c>
      <c r="F63">
        <v>0.16</v>
      </c>
      <c r="G63">
        <v>24</v>
      </c>
      <c r="H63">
        <v>216</v>
      </c>
      <c r="I63">
        <v>23</v>
      </c>
      <c r="J63">
        <v>6</v>
      </c>
      <c r="K63" t="s">
        <v>17</v>
      </c>
      <c r="L63" t="s">
        <v>15</v>
      </c>
      <c r="M63">
        <v>3</v>
      </c>
      <c r="N63">
        <f t="shared" si="0"/>
        <v>1200</v>
      </c>
      <c r="O63">
        <f t="shared" si="1"/>
        <v>1176</v>
      </c>
      <c r="P63" s="1">
        <f t="shared" si="2"/>
        <v>51.130434782608695</v>
      </c>
      <c r="Q63" s="1">
        <f t="shared" si="3"/>
        <v>0.12042771838760874</v>
      </c>
      <c r="R63" s="1">
        <f t="shared" si="4"/>
        <v>23.706196364600778</v>
      </c>
      <c r="S63" s="1">
        <f t="shared" si="5"/>
        <v>-0.29380363539922172</v>
      </c>
    </row>
    <row r="64" spans="1:19" x14ac:dyDescent="0.35">
      <c r="A64">
        <v>63</v>
      </c>
      <c r="B64" t="s">
        <v>12</v>
      </c>
      <c r="C64">
        <v>100</v>
      </c>
      <c r="D64" t="s">
        <v>13</v>
      </c>
      <c r="E64">
        <v>25</v>
      </c>
      <c r="F64">
        <v>0.16</v>
      </c>
      <c r="G64">
        <v>22</v>
      </c>
      <c r="H64">
        <v>243</v>
      </c>
      <c r="I64">
        <v>21</v>
      </c>
      <c r="J64">
        <v>6</v>
      </c>
      <c r="K64" t="s">
        <v>17</v>
      </c>
      <c r="L64" t="s">
        <v>15</v>
      </c>
      <c r="M64">
        <v>3</v>
      </c>
      <c r="N64">
        <f t="shared" si="0"/>
        <v>1200</v>
      </c>
      <c r="O64">
        <f t="shared" si="1"/>
        <v>1176</v>
      </c>
      <c r="P64" s="1">
        <f t="shared" si="2"/>
        <v>56</v>
      </c>
      <c r="Q64" s="1">
        <f t="shared" si="3"/>
        <v>0.10995574287564276</v>
      </c>
      <c r="R64" s="1">
        <f t="shared" si="4"/>
        <v>21.644787985070277</v>
      </c>
      <c r="S64" s="1">
        <f t="shared" si="5"/>
        <v>-0.3552120149297231</v>
      </c>
    </row>
    <row r="65" spans="1:19" x14ac:dyDescent="0.35">
      <c r="A65">
        <v>64</v>
      </c>
      <c r="B65" t="s">
        <v>12</v>
      </c>
      <c r="C65">
        <v>100</v>
      </c>
      <c r="D65" t="s">
        <v>13</v>
      </c>
      <c r="E65">
        <v>25</v>
      </c>
      <c r="F65">
        <v>0.16</v>
      </c>
      <c r="G65">
        <v>18</v>
      </c>
      <c r="H65">
        <v>274</v>
      </c>
      <c r="I65">
        <v>17</v>
      </c>
      <c r="J65">
        <v>6</v>
      </c>
      <c r="K65" t="s">
        <v>17</v>
      </c>
      <c r="L65" t="s">
        <v>15</v>
      </c>
      <c r="M65">
        <v>3</v>
      </c>
      <c r="N65">
        <f t="shared" si="0"/>
        <v>1200</v>
      </c>
      <c r="O65">
        <f t="shared" si="1"/>
        <v>1176</v>
      </c>
      <c r="P65" s="1">
        <f t="shared" si="2"/>
        <v>69.17647058823529</v>
      </c>
      <c r="Q65" s="1">
        <f t="shared" si="3"/>
        <v>8.901179185171082E-2</v>
      </c>
      <c r="R65" s="1">
        <f t="shared" si="4"/>
        <v>17.521971226009274</v>
      </c>
      <c r="S65" s="1">
        <f t="shared" si="5"/>
        <v>-0.47802877399072585</v>
      </c>
    </row>
    <row r="66" spans="1:19" x14ac:dyDescent="0.35">
      <c r="A66">
        <v>65</v>
      </c>
      <c r="B66" t="s">
        <v>12</v>
      </c>
      <c r="C66">
        <v>100</v>
      </c>
      <c r="D66" t="s">
        <v>13</v>
      </c>
      <c r="E66">
        <v>25</v>
      </c>
      <c r="F66">
        <v>0.16</v>
      </c>
      <c r="G66">
        <v>15</v>
      </c>
      <c r="H66">
        <v>274</v>
      </c>
      <c r="I66">
        <v>15</v>
      </c>
      <c r="J66">
        <v>6</v>
      </c>
      <c r="K66" t="s">
        <v>17</v>
      </c>
      <c r="L66" t="s">
        <v>15</v>
      </c>
      <c r="M66">
        <v>3</v>
      </c>
      <c r="N66">
        <f t="shared" si="0"/>
        <v>1200</v>
      </c>
      <c r="O66">
        <f t="shared" si="1"/>
        <v>1176</v>
      </c>
      <c r="P66" s="1">
        <f t="shared" si="2"/>
        <v>78.400000000000006</v>
      </c>
      <c r="Q66" s="1">
        <f t="shared" si="3"/>
        <v>7.8539816339744828E-2</v>
      </c>
      <c r="R66" s="1">
        <f t="shared" si="4"/>
        <v>15.460562846478769</v>
      </c>
      <c r="S66" s="1">
        <f t="shared" si="5"/>
        <v>0.46056284647876922</v>
      </c>
    </row>
    <row r="67" spans="1:19" x14ac:dyDescent="0.35">
      <c r="A67">
        <v>66</v>
      </c>
      <c r="B67" t="s">
        <v>12</v>
      </c>
      <c r="C67">
        <v>100</v>
      </c>
      <c r="D67" t="s">
        <v>13</v>
      </c>
      <c r="E67">
        <v>25</v>
      </c>
      <c r="F67">
        <v>0.16</v>
      </c>
      <c r="G67">
        <v>13</v>
      </c>
      <c r="H67">
        <v>274</v>
      </c>
      <c r="I67">
        <v>13</v>
      </c>
      <c r="J67">
        <v>6</v>
      </c>
      <c r="K67" t="s">
        <v>17</v>
      </c>
      <c r="L67" t="s">
        <v>15</v>
      </c>
      <c r="M67">
        <v>3</v>
      </c>
      <c r="N67">
        <f t="shared" ref="N67:N130" si="6">60*60*2/J67</f>
        <v>1200</v>
      </c>
      <c r="O67">
        <f t="shared" ref="O67:O130" si="7">N67*(1-0.02)</f>
        <v>1176</v>
      </c>
      <c r="P67" s="1">
        <f t="shared" ref="P67:P130" si="8">O67/I67</f>
        <v>90.461538461538467</v>
      </c>
      <c r="Q67" s="1">
        <f t="shared" ref="Q67:Q130" si="9">(I67*2*PI()/60)*(C67/2000)</f>
        <v>6.8067840827778864E-2</v>
      </c>
      <c r="R67" s="1">
        <f t="shared" ref="R67:R130" si="10">Q67*196.85</f>
        <v>13.39915446694827</v>
      </c>
      <c r="S67" s="1">
        <f t="shared" ref="S67:S130" si="11">R67-G67</f>
        <v>0.39915446694826962</v>
      </c>
    </row>
    <row r="68" spans="1:19" x14ac:dyDescent="0.35">
      <c r="A68">
        <v>67</v>
      </c>
      <c r="B68" t="s">
        <v>12</v>
      </c>
      <c r="C68">
        <v>100</v>
      </c>
      <c r="D68" t="s">
        <v>13</v>
      </c>
      <c r="E68">
        <v>25</v>
      </c>
      <c r="F68">
        <v>0.16</v>
      </c>
      <c r="G68">
        <v>11</v>
      </c>
      <c r="H68">
        <v>274</v>
      </c>
      <c r="I68">
        <v>11</v>
      </c>
      <c r="J68">
        <v>6</v>
      </c>
      <c r="K68" t="s">
        <v>17</v>
      </c>
      <c r="L68" t="s">
        <v>15</v>
      </c>
      <c r="M68">
        <v>3</v>
      </c>
      <c r="N68">
        <f t="shared" si="6"/>
        <v>1200</v>
      </c>
      <c r="O68">
        <f t="shared" si="7"/>
        <v>1176</v>
      </c>
      <c r="P68" s="1">
        <f t="shared" si="8"/>
        <v>106.90909090909091</v>
      </c>
      <c r="Q68" s="1">
        <f t="shared" si="9"/>
        <v>5.7595865315812872E-2</v>
      </c>
      <c r="R68" s="1">
        <f t="shared" si="10"/>
        <v>11.337746087417763</v>
      </c>
      <c r="S68" s="1">
        <f t="shared" si="11"/>
        <v>0.33774608741776291</v>
      </c>
    </row>
    <row r="69" spans="1:19" x14ac:dyDescent="0.35">
      <c r="A69">
        <v>68</v>
      </c>
      <c r="B69" t="s">
        <v>12</v>
      </c>
      <c r="C69">
        <v>100</v>
      </c>
      <c r="D69" t="s">
        <v>13</v>
      </c>
      <c r="E69">
        <v>25</v>
      </c>
      <c r="F69">
        <v>0.16</v>
      </c>
      <c r="G69">
        <v>9</v>
      </c>
      <c r="H69">
        <v>274</v>
      </c>
      <c r="I69">
        <v>9</v>
      </c>
      <c r="J69">
        <v>6</v>
      </c>
      <c r="K69" t="s">
        <v>17</v>
      </c>
      <c r="L69" t="s">
        <v>15</v>
      </c>
      <c r="M69">
        <v>3</v>
      </c>
      <c r="N69">
        <f t="shared" si="6"/>
        <v>1200</v>
      </c>
      <c r="O69">
        <f t="shared" si="7"/>
        <v>1176</v>
      </c>
      <c r="P69" s="1">
        <f t="shared" si="8"/>
        <v>130.66666666666666</v>
      </c>
      <c r="Q69" s="1">
        <f t="shared" si="9"/>
        <v>4.7123889803846901E-2</v>
      </c>
      <c r="R69" s="1">
        <f t="shared" si="10"/>
        <v>9.2763377078872615</v>
      </c>
      <c r="S69" s="1">
        <f t="shared" si="11"/>
        <v>0.27633770788726153</v>
      </c>
    </row>
    <row r="70" spans="1:19" x14ac:dyDescent="0.35">
      <c r="A70">
        <v>69</v>
      </c>
      <c r="B70" t="s">
        <v>12</v>
      </c>
      <c r="C70">
        <v>100</v>
      </c>
      <c r="D70" t="s">
        <v>13</v>
      </c>
      <c r="E70">
        <v>25</v>
      </c>
      <c r="F70">
        <v>0.14000000000000001</v>
      </c>
      <c r="G70">
        <v>258</v>
      </c>
      <c r="H70">
        <v>18</v>
      </c>
      <c r="I70">
        <v>250</v>
      </c>
      <c r="J70">
        <v>4</v>
      </c>
      <c r="K70" t="s">
        <v>14</v>
      </c>
      <c r="L70" t="s">
        <v>15</v>
      </c>
      <c r="M70">
        <v>3</v>
      </c>
      <c r="N70">
        <f t="shared" si="6"/>
        <v>1800</v>
      </c>
      <c r="O70">
        <f t="shared" si="7"/>
        <v>1764</v>
      </c>
      <c r="P70" s="1">
        <f t="shared" si="8"/>
        <v>7.056</v>
      </c>
      <c r="Q70" s="1">
        <f t="shared" si="9"/>
        <v>1.3089969389957472</v>
      </c>
      <c r="R70" s="1">
        <f t="shared" si="10"/>
        <v>257.67604744131285</v>
      </c>
      <c r="S70" s="1">
        <f t="shared" si="11"/>
        <v>-0.32395255868715367</v>
      </c>
    </row>
    <row r="71" spans="1:19" x14ac:dyDescent="0.35">
      <c r="A71">
        <v>70</v>
      </c>
      <c r="B71" t="s">
        <v>12</v>
      </c>
      <c r="C71">
        <v>100</v>
      </c>
      <c r="D71" t="s">
        <v>13</v>
      </c>
      <c r="E71">
        <v>25</v>
      </c>
      <c r="F71">
        <v>0.14000000000000001</v>
      </c>
      <c r="G71">
        <v>227</v>
      </c>
      <c r="H71">
        <v>20</v>
      </c>
      <c r="I71">
        <v>220</v>
      </c>
      <c r="J71">
        <v>4</v>
      </c>
      <c r="K71" t="s">
        <v>14</v>
      </c>
      <c r="L71" t="s">
        <v>15</v>
      </c>
      <c r="M71">
        <v>3</v>
      </c>
      <c r="N71">
        <f t="shared" si="6"/>
        <v>1800</v>
      </c>
      <c r="O71">
        <f t="shared" si="7"/>
        <v>1764</v>
      </c>
      <c r="P71" s="1">
        <f t="shared" si="8"/>
        <v>8.0181818181818176</v>
      </c>
      <c r="Q71" s="1">
        <f t="shared" si="9"/>
        <v>1.1519173063162575</v>
      </c>
      <c r="R71" s="1">
        <f t="shared" si="10"/>
        <v>226.75492174835529</v>
      </c>
      <c r="S71" s="1">
        <f t="shared" si="11"/>
        <v>-0.24507825164471342</v>
      </c>
    </row>
    <row r="72" spans="1:19" x14ac:dyDescent="0.35">
      <c r="A72">
        <v>71</v>
      </c>
      <c r="B72" t="s">
        <v>12</v>
      </c>
      <c r="C72">
        <v>100</v>
      </c>
      <c r="D72" t="s">
        <v>13</v>
      </c>
      <c r="E72">
        <v>25</v>
      </c>
      <c r="F72">
        <v>0.14000000000000001</v>
      </c>
      <c r="G72">
        <v>199</v>
      </c>
      <c r="H72">
        <v>23</v>
      </c>
      <c r="I72">
        <v>193</v>
      </c>
      <c r="J72">
        <v>4</v>
      </c>
      <c r="K72" t="s">
        <v>14</v>
      </c>
      <c r="L72" t="s">
        <v>15</v>
      </c>
      <c r="M72">
        <v>3</v>
      </c>
      <c r="N72">
        <f t="shared" si="6"/>
        <v>1800</v>
      </c>
      <c r="O72">
        <f t="shared" si="7"/>
        <v>1764</v>
      </c>
      <c r="P72" s="1">
        <f t="shared" si="8"/>
        <v>9.1398963730569953</v>
      </c>
      <c r="Q72" s="1">
        <f t="shared" si="9"/>
        <v>1.0105456369047168</v>
      </c>
      <c r="R72" s="1">
        <f t="shared" si="10"/>
        <v>198.92590862469348</v>
      </c>
      <c r="S72" s="1">
        <f t="shared" si="11"/>
        <v>-7.4091375306522878E-2</v>
      </c>
    </row>
    <row r="73" spans="1:19" x14ac:dyDescent="0.35">
      <c r="A73">
        <v>72</v>
      </c>
      <c r="B73" t="s">
        <v>12</v>
      </c>
      <c r="C73">
        <v>100</v>
      </c>
      <c r="D73" t="s">
        <v>13</v>
      </c>
      <c r="E73">
        <v>25</v>
      </c>
      <c r="F73">
        <v>0.14000000000000001</v>
      </c>
      <c r="G73">
        <v>177</v>
      </c>
      <c r="H73">
        <v>26</v>
      </c>
      <c r="I73">
        <v>172</v>
      </c>
      <c r="J73">
        <v>4</v>
      </c>
      <c r="K73" t="s">
        <v>16</v>
      </c>
      <c r="L73" t="s">
        <v>15</v>
      </c>
      <c r="M73">
        <v>3</v>
      </c>
      <c r="N73">
        <f t="shared" si="6"/>
        <v>1800</v>
      </c>
      <c r="O73">
        <f t="shared" si="7"/>
        <v>1764</v>
      </c>
      <c r="P73" s="1">
        <f t="shared" si="8"/>
        <v>10.255813953488373</v>
      </c>
      <c r="Q73" s="1">
        <f t="shared" si="9"/>
        <v>0.90058989402907397</v>
      </c>
      <c r="R73" s="1">
        <f t="shared" si="10"/>
        <v>177.2811206396232</v>
      </c>
      <c r="S73" s="1">
        <f t="shared" si="11"/>
        <v>0.28112063962319667</v>
      </c>
    </row>
    <row r="74" spans="1:19" x14ac:dyDescent="0.35">
      <c r="A74">
        <v>73</v>
      </c>
      <c r="B74" t="s">
        <v>12</v>
      </c>
      <c r="C74">
        <v>100</v>
      </c>
      <c r="D74" t="s">
        <v>13</v>
      </c>
      <c r="E74">
        <v>25</v>
      </c>
      <c r="F74">
        <v>0.14000000000000001</v>
      </c>
      <c r="G74">
        <v>157</v>
      </c>
      <c r="H74">
        <v>29</v>
      </c>
      <c r="I74">
        <v>152</v>
      </c>
      <c r="J74">
        <v>4</v>
      </c>
      <c r="K74" t="s">
        <v>16</v>
      </c>
      <c r="L74" t="s">
        <v>15</v>
      </c>
      <c r="M74">
        <v>3</v>
      </c>
      <c r="N74">
        <f t="shared" si="6"/>
        <v>1800</v>
      </c>
      <c r="O74">
        <f t="shared" si="7"/>
        <v>1764</v>
      </c>
      <c r="P74" s="1">
        <f t="shared" si="8"/>
        <v>11.605263157894736</v>
      </c>
      <c r="Q74" s="1">
        <f t="shared" si="9"/>
        <v>0.79587013890941427</v>
      </c>
      <c r="R74" s="1">
        <f t="shared" si="10"/>
        <v>156.6670368443182</v>
      </c>
      <c r="S74" s="1">
        <f t="shared" si="11"/>
        <v>-0.3329631556817958</v>
      </c>
    </row>
    <row r="75" spans="1:19" x14ac:dyDescent="0.35">
      <c r="A75">
        <v>74</v>
      </c>
      <c r="B75" t="s">
        <v>12</v>
      </c>
      <c r="C75">
        <v>100</v>
      </c>
      <c r="D75" t="s">
        <v>13</v>
      </c>
      <c r="E75">
        <v>25</v>
      </c>
      <c r="F75">
        <v>0.14000000000000001</v>
      </c>
      <c r="G75">
        <v>149</v>
      </c>
      <c r="H75">
        <v>31</v>
      </c>
      <c r="I75">
        <v>145</v>
      </c>
      <c r="J75">
        <v>4</v>
      </c>
      <c r="K75" t="s">
        <v>16</v>
      </c>
      <c r="L75" t="s">
        <v>15</v>
      </c>
      <c r="M75">
        <v>3</v>
      </c>
      <c r="N75">
        <f t="shared" si="6"/>
        <v>1800</v>
      </c>
      <c r="O75">
        <f t="shared" si="7"/>
        <v>1764</v>
      </c>
      <c r="P75" s="1">
        <f t="shared" si="8"/>
        <v>12.165517241379311</v>
      </c>
      <c r="Q75" s="1">
        <f t="shared" si="9"/>
        <v>0.7592182246175333</v>
      </c>
      <c r="R75" s="1">
        <f t="shared" si="10"/>
        <v>149.45210751596142</v>
      </c>
      <c r="S75" s="1">
        <f t="shared" si="11"/>
        <v>0.45210751596141563</v>
      </c>
    </row>
    <row r="76" spans="1:19" x14ac:dyDescent="0.35">
      <c r="A76" s="2">
        <v>75</v>
      </c>
      <c r="B76" s="2" t="s">
        <v>12</v>
      </c>
      <c r="C76" s="2">
        <v>100</v>
      </c>
      <c r="D76" s="2" t="s">
        <v>13</v>
      </c>
      <c r="E76" s="2">
        <v>25</v>
      </c>
      <c r="F76" s="2">
        <v>0.14000000000000001</v>
      </c>
      <c r="G76" s="2">
        <v>133</v>
      </c>
      <c r="H76" s="2">
        <v>35</v>
      </c>
      <c r="I76" s="2">
        <v>128</v>
      </c>
      <c r="J76" s="2">
        <v>4</v>
      </c>
      <c r="K76" s="2" t="s">
        <v>16</v>
      </c>
      <c r="L76" s="2" t="s">
        <v>15</v>
      </c>
      <c r="M76" s="2">
        <v>3</v>
      </c>
      <c r="N76" s="2">
        <f t="shared" si="6"/>
        <v>1800</v>
      </c>
      <c r="O76" s="2">
        <f t="shared" si="7"/>
        <v>1764</v>
      </c>
      <c r="P76" s="3">
        <f t="shared" si="8"/>
        <v>13.78125</v>
      </c>
      <c r="Q76" s="3">
        <f t="shared" si="9"/>
        <v>0.67020643276582259</v>
      </c>
      <c r="R76" s="3">
        <f t="shared" si="10"/>
        <v>131.93013628995217</v>
      </c>
      <c r="S76" s="3">
        <f t="shared" si="11"/>
        <v>-1.0698637100478265</v>
      </c>
    </row>
    <row r="77" spans="1:19" x14ac:dyDescent="0.35">
      <c r="A77">
        <v>76</v>
      </c>
      <c r="B77" t="s">
        <v>12</v>
      </c>
      <c r="C77">
        <v>100</v>
      </c>
      <c r="D77" t="s">
        <v>13</v>
      </c>
      <c r="E77">
        <v>25</v>
      </c>
      <c r="F77">
        <v>0.14000000000000001</v>
      </c>
      <c r="G77">
        <v>111</v>
      </c>
      <c r="H77">
        <v>42</v>
      </c>
      <c r="I77">
        <v>108</v>
      </c>
      <c r="J77">
        <v>4</v>
      </c>
      <c r="K77" t="s">
        <v>16</v>
      </c>
      <c r="L77" t="s">
        <v>15</v>
      </c>
      <c r="M77">
        <v>3</v>
      </c>
      <c r="N77">
        <f t="shared" si="6"/>
        <v>1800</v>
      </c>
      <c r="O77">
        <f t="shared" si="7"/>
        <v>1764</v>
      </c>
      <c r="P77" s="1">
        <f t="shared" si="8"/>
        <v>16.333333333333332</v>
      </c>
      <c r="Q77" s="1">
        <f t="shared" si="9"/>
        <v>0.56548667764616278</v>
      </c>
      <c r="R77" s="1">
        <f t="shared" si="10"/>
        <v>111.31605249464714</v>
      </c>
      <c r="S77" s="1">
        <f t="shared" si="11"/>
        <v>0.31605249464713836</v>
      </c>
    </row>
    <row r="78" spans="1:19" x14ac:dyDescent="0.35">
      <c r="A78">
        <v>77</v>
      </c>
      <c r="B78" t="s">
        <v>12</v>
      </c>
      <c r="C78">
        <v>100</v>
      </c>
      <c r="D78" t="s">
        <v>13</v>
      </c>
      <c r="E78">
        <v>25</v>
      </c>
      <c r="F78">
        <v>0.14000000000000001</v>
      </c>
      <c r="G78">
        <v>106</v>
      </c>
      <c r="H78">
        <v>42</v>
      </c>
      <c r="I78">
        <v>103</v>
      </c>
      <c r="J78">
        <v>4</v>
      </c>
      <c r="K78" t="s">
        <v>16</v>
      </c>
      <c r="L78" t="s">
        <v>15</v>
      </c>
      <c r="M78">
        <v>3</v>
      </c>
      <c r="N78">
        <f t="shared" si="6"/>
        <v>1800</v>
      </c>
      <c r="O78">
        <f t="shared" si="7"/>
        <v>1764</v>
      </c>
      <c r="P78" s="1">
        <f t="shared" si="8"/>
        <v>17.126213592233011</v>
      </c>
      <c r="Q78" s="1">
        <f t="shared" si="9"/>
        <v>0.5393067388662478</v>
      </c>
      <c r="R78" s="1">
        <f t="shared" si="10"/>
        <v>106.16253154582088</v>
      </c>
      <c r="S78" s="1">
        <f t="shared" si="11"/>
        <v>0.16253154582088314</v>
      </c>
    </row>
    <row r="79" spans="1:19" x14ac:dyDescent="0.35">
      <c r="A79">
        <v>78</v>
      </c>
      <c r="B79" t="s">
        <v>12</v>
      </c>
      <c r="C79">
        <v>100</v>
      </c>
      <c r="D79" t="s">
        <v>13</v>
      </c>
      <c r="E79">
        <v>25</v>
      </c>
      <c r="F79">
        <v>0.14000000000000001</v>
      </c>
      <c r="G79">
        <v>93</v>
      </c>
      <c r="H79">
        <v>50</v>
      </c>
      <c r="I79">
        <v>90</v>
      </c>
      <c r="J79">
        <v>4</v>
      </c>
      <c r="K79" t="s">
        <v>16</v>
      </c>
      <c r="L79" t="s">
        <v>15</v>
      </c>
      <c r="M79">
        <v>3</v>
      </c>
      <c r="N79">
        <f t="shared" si="6"/>
        <v>1800</v>
      </c>
      <c r="O79">
        <f t="shared" si="7"/>
        <v>1764</v>
      </c>
      <c r="P79" s="1">
        <f t="shared" si="8"/>
        <v>19.600000000000001</v>
      </c>
      <c r="Q79" s="1">
        <f t="shared" si="9"/>
        <v>0.47123889803846897</v>
      </c>
      <c r="R79" s="1">
        <f t="shared" si="10"/>
        <v>92.763377078872608</v>
      </c>
      <c r="S79" s="1">
        <f t="shared" si="11"/>
        <v>-0.23662292112739181</v>
      </c>
    </row>
    <row r="80" spans="1:19" x14ac:dyDescent="0.35">
      <c r="A80">
        <v>79</v>
      </c>
      <c r="B80" t="s">
        <v>12</v>
      </c>
      <c r="C80">
        <v>100</v>
      </c>
      <c r="D80" t="s">
        <v>13</v>
      </c>
      <c r="E80">
        <v>25</v>
      </c>
      <c r="F80">
        <v>0.14000000000000001</v>
      </c>
      <c r="G80">
        <v>83</v>
      </c>
      <c r="H80">
        <v>56</v>
      </c>
      <c r="I80">
        <v>81</v>
      </c>
      <c r="J80">
        <v>4</v>
      </c>
      <c r="K80" t="s">
        <v>16</v>
      </c>
      <c r="L80" t="s">
        <v>15</v>
      </c>
      <c r="M80">
        <v>3</v>
      </c>
      <c r="N80">
        <f t="shared" si="6"/>
        <v>1800</v>
      </c>
      <c r="O80">
        <f t="shared" si="7"/>
        <v>1764</v>
      </c>
      <c r="P80" s="1">
        <f t="shared" si="8"/>
        <v>21.777777777777779</v>
      </c>
      <c r="Q80" s="1">
        <f t="shared" si="9"/>
        <v>0.42411500823462212</v>
      </c>
      <c r="R80" s="1">
        <f t="shared" si="10"/>
        <v>83.487039370985357</v>
      </c>
      <c r="S80" s="1">
        <f t="shared" si="11"/>
        <v>0.48703937098535732</v>
      </c>
    </row>
    <row r="81" spans="1:19" x14ac:dyDescent="0.35">
      <c r="A81">
        <v>80</v>
      </c>
      <c r="B81" t="s">
        <v>12</v>
      </c>
      <c r="C81">
        <v>100</v>
      </c>
      <c r="D81" t="s">
        <v>13</v>
      </c>
      <c r="E81">
        <v>25</v>
      </c>
      <c r="F81">
        <v>0.14000000000000001</v>
      </c>
      <c r="G81">
        <v>69</v>
      </c>
      <c r="H81">
        <v>67</v>
      </c>
      <c r="I81">
        <v>67</v>
      </c>
      <c r="J81">
        <v>4</v>
      </c>
      <c r="K81" t="s">
        <v>16</v>
      </c>
      <c r="L81" t="s">
        <v>15</v>
      </c>
      <c r="M81">
        <v>3</v>
      </c>
      <c r="N81">
        <f t="shared" si="6"/>
        <v>1800</v>
      </c>
      <c r="O81">
        <f t="shared" si="7"/>
        <v>1764</v>
      </c>
      <c r="P81" s="1">
        <f t="shared" si="8"/>
        <v>26.328358208955223</v>
      </c>
      <c r="Q81" s="1">
        <f t="shared" si="9"/>
        <v>0.35081117965086023</v>
      </c>
      <c r="R81" s="1">
        <f t="shared" si="10"/>
        <v>69.057180714271837</v>
      </c>
      <c r="S81" s="1">
        <f t="shared" si="11"/>
        <v>5.7180714271837019E-2</v>
      </c>
    </row>
    <row r="82" spans="1:19" x14ac:dyDescent="0.35">
      <c r="A82">
        <v>81</v>
      </c>
      <c r="B82" t="s">
        <v>12</v>
      </c>
      <c r="C82">
        <v>100</v>
      </c>
      <c r="D82" t="s">
        <v>13</v>
      </c>
      <c r="E82">
        <v>25</v>
      </c>
      <c r="F82">
        <v>0.14000000000000001</v>
      </c>
      <c r="G82">
        <v>56</v>
      </c>
      <c r="H82">
        <v>83</v>
      </c>
      <c r="I82">
        <v>54</v>
      </c>
      <c r="J82">
        <v>4</v>
      </c>
      <c r="K82" t="s">
        <v>16</v>
      </c>
      <c r="L82" t="s">
        <v>15</v>
      </c>
      <c r="M82">
        <v>3</v>
      </c>
      <c r="N82">
        <f t="shared" si="6"/>
        <v>1800</v>
      </c>
      <c r="O82">
        <f t="shared" si="7"/>
        <v>1764</v>
      </c>
      <c r="P82" s="1">
        <f t="shared" si="8"/>
        <v>32.666666666666664</v>
      </c>
      <c r="Q82" s="1">
        <f t="shared" si="9"/>
        <v>0.28274333882308139</v>
      </c>
      <c r="R82" s="1">
        <f t="shared" si="10"/>
        <v>55.658026247323569</v>
      </c>
      <c r="S82" s="1">
        <f t="shared" si="11"/>
        <v>-0.34197375267643082</v>
      </c>
    </row>
    <row r="83" spans="1:19" x14ac:dyDescent="0.35">
      <c r="A83">
        <v>82</v>
      </c>
      <c r="B83" t="s">
        <v>12</v>
      </c>
      <c r="C83">
        <v>100</v>
      </c>
      <c r="D83" t="s">
        <v>13</v>
      </c>
      <c r="E83">
        <v>25</v>
      </c>
      <c r="F83">
        <v>0.14000000000000001</v>
      </c>
      <c r="G83">
        <v>44</v>
      </c>
      <c r="H83">
        <v>106</v>
      </c>
      <c r="I83">
        <v>43</v>
      </c>
      <c r="J83">
        <v>4</v>
      </c>
      <c r="K83" t="s">
        <v>17</v>
      </c>
      <c r="L83" t="s">
        <v>15</v>
      </c>
      <c r="M83">
        <v>3</v>
      </c>
      <c r="N83">
        <f t="shared" si="6"/>
        <v>1800</v>
      </c>
      <c r="O83">
        <f t="shared" si="7"/>
        <v>1764</v>
      </c>
      <c r="P83" s="1">
        <f t="shared" si="8"/>
        <v>41.02325581395349</v>
      </c>
      <c r="Q83" s="1">
        <f t="shared" si="9"/>
        <v>0.22514747350726849</v>
      </c>
      <c r="R83" s="1">
        <f t="shared" si="10"/>
        <v>44.320280159905799</v>
      </c>
      <c r="S83" s="1">
        <f t="shared" si="11"/>
        <v>0.32028015990579917</v>
      </c>
    </row>
    <row r="84" spans="1:19" x14ac:dyDescent="0.35">
      <c r="A84">
        <v>83</v>
      </c>
      <c r="B84" t="s">
        <v>12</v>
      </c>
      <c r="C84">
        <v>100</v>
      </c>
      <c r="D84" t="s">
        <v>13</v>
      </c>
      <c r="E84">
        <v>25</v>
      </c>
      <c r="F84">
        <v>0.14000000000000001</v>
      </c>
      <c r="G84">
        <v>37</v>
      </c>
      <c r="H84">
        <v>126</v>
      </c>
      <c r="I84">
        <v>36</v>
      </c>
      <c r="J84">
        <v>4</v>
      </c>
      <c r="K84" t="s">
        <v>17</v>
      </c>
      <c r="L84" t="s">
        <v>15</v>
      </c>
      <c r="M84">
        <v>3</v>
      </c>
      <c r="N84">
        <f t="shared" si="6"/>
        <v>1800</v>
      </c>
      <c r="O84">
        <f t="shared" si="7"/>
        <v>1764</v>
      </c>
      <c r="P84" s="1">
        <f t="shared" si="8"/>
        <v>49</v>
      </c>
      <c r="Q84" s="1">
        <f t="shared" si="9"/>
        <v>0.1884955592153876</v>
      </c>
      <c r="R84" s="1">
        <f t="shared" si="10"/>
        <v>37.105350831549046</v>
      </c>
      <c r="S84" s="1">
        <f t="shared" si="11"/>
        <v>0.10535083154904612</v>
      </c>
    </row>
    <row r="85" spans="1:19" x14ac:dyDescent="0.35">
      <c r="A85">
        <v>84</v>
      </c>
      <c r="B85" t="s">
        <v>12</v>
      </c>
      <c r="C85">
        <v>100</v>
      </c>
      <c r="D85" t="s">
        <v>13</v>
      </c>
      <c r="E85">
        <v>25</v>
      </c>
      <c r="F85">
        <v>0.14000000000000001</v>
      </c>
      <c r="G85">
        <v>33</v>
      </c>
      <c r="H85">
        <v>142</v>
      </c>
      <c r="I85">
        <v>32</v>
      </c>
      <c r="J85">
        <v>4</v>
      </c>
      <c r="K85" t="s">
        <v>17</v>
      </c>
      <c r="L85" t="s">
        <v>15</v>
      </c>
      <c r="M85">
        <v>3</v>
      </c>
      <c r="N85">
        <f t="shared" si="6"/>
        <v>1800</v>
      </c>
      <c r="O85">
        <f t="shared" si="7"/>
        <v>1764</v>
      </c>
      <c r="P85" s="1">
        <f t="shared" si="8"/>
        <v>55.125</v>
      </c>
      <c r="Q85" s="1">
        <f t="shared" si="9"/>
        <v>0.16755160819145565</v>
      </c>
      <c r="R85" s="1">
        <f t="shared" si="10"/>
        <v>32.982534072488043</v>
      </c>
      <c r="S85" s="1">
        <f t="shared" si="11"/>
        <v>-1.7465927511956636E-2</v>
      </c>
    </row>
    <row r="86" spans="1:19" x14ac:dyDescent="0.35">
      <c r="A86">
        <v>85</v>
      </c>
      <c r="B86" t="s">
        <v>12</v>
      </c>
      <c r="C86">
        <v>100</v>
      </c>
      <c r="D86" t="s">
        <v>13</v>
      </c>
      <c r="E86">
        <v>25</v>
      </c>
      <c r="F86">
        <v>0.14000000000000001</v>
      </c>
      <c r="G86">
        <v>27</v>
      </c>
      <c r="H86">
        <v>169</v>
      </c>
      <c r="I86">
        <v>26</v>
      </c>
      <c r="J86">
        <v>4</v>
      </c>
      <c r="K86" t="s">
        <v>17</v>
      </c>
      <c r="L86" t="s">
        <v>15</v>
      </c>
      <c r="M86">
        <v>3</v>
      </c>
      <c r="N86">
        <f t="shared" si="6"/>
        <v>1800</v>
      </c>
      <c r="O86">
        <f t="shared" si="7"/>
        <v>1764</v>
      </c>
      <c r="P86" s="1">
        <f t="shared" si="8"/>
        <v>67.84615384615384</v>
      </c>
      <c r="Q86" s="1">
        <f t="shared" si="9"/>
        <v>0.13613568165555773</v>
      </c>
      <c r="R86" s="1">
        <f t="shared" si="10"/>
        <v>26.798308933896539</v>
      </c>
      <c r="S86" s="1">
        <f t="shared" si="11"/>
        <v>-0.20169106610346077</v>
      </c>
    </row>
    <row r="87" spans="1:19" x14ac:dyDescent="0.35">
      <c r="A87">
        <v>86</v>
      </c>
      <c r="B87" t="s">
        <v>12</v>
      </c>
      <c r="C87">
        <v>100</v>
      </c>
      <c r="D87" t="s">
        <v>13</v>
      </c>
      <c r="E87">
        <v>25</v>
      </c>
      <c r="F87">
        <v>0.14000000000000001</v>
      </c>
      <c r="G87">
        <v>23</v>
      </c>
      <c r="H87">
        <v>201</v>
      </c>
      <c r="I87">
        <v>22</v>
      </c>
      <c r="J87">
        <v>4</v>
      </c>
      <c r="K87" t="s">
        <v>17</v>
      </c>
      <c r="L87" t="s">
        <v>15</v>
      </c>
      <c r="M87">
        <v>3</v>
      </c>
      <c r="N87">
        <f t="shared" si="6"/>
        <v>1800</v>
      </c>
      <c r="O87">
        <f t="shared" si="7"/>
        <v>1764</v>
      </c>
      <c r="P87" s="1">
        <f t="shared" si="8"/>
        <v>80.181818181818187</v>
      </c>
      <c r="Q87" s="1">
        <f t="shared" si="9"/>
        <v>0.11519173063162574</v>
      </c>
      <c r="R87" s="1">
        <f t="shared" si="10"/>
        <v>22.675492174835526</v>
      </c>
      <c r="S87" s="1">
        <f t="shared" si="11"/>
        <v>-0.32450782516447418</v>
      </c>
    </row>
    <row r="88" spans="1:19" x14ac:dyDescent="0.35">
      <c r="A88">
        <v>87</v>
      </c>
      <c r="B88" t="s">
        <v>12</v>
      </c>
      <c r="C88">
        <v>100</v>
      </c>
      <c r="D88" t="s">
        <v>13</v>
      </c>
      <c r="E88">
        <v>25</v>
      </c>
      <c r="F88">
        <v>0.14000000000000001</v>
      </c>
      <c r="G88">
        <v>20</v>
      </c>
      <c r="H88">
        <v>227</v>
      </c>
      <c r="I88">
        <v>19</v>
      </c>
      <c r="J88">
        <v>4</v>
      </c>
      <c r="K88" t="s">
        <v>17</v>
      </c>
      <c r="L88" t="s">
        <v>15</v>
      </c>
      <c r="M88">
        <v>3</v>
      </c>
      <c r="N88">
        <f t="shared" si="6"/>
        <v>1800</v>
      </c>
      <c r="O88">
        <f t="shared" si="7"/>
        <v>1764</v>
      </c>
      <c r="P88" s="1">
        <f t="shared" si="8"/>
        <v>92.84210526315789</v>
      </c>
      <c r="Q88" s="1">
        <f t="shared" si="9"/>
        <v>9.9483767363676784E-2</v>
      </c>
      <c r="R88" s="1">
        <f t="shared" si="10"/>
        <v>19.583379605539776</v>
      </c>
      <c r="S88" s="1">
        <f t="shared" si="11"/>
        <v>-0.41662039446022447</v>
      </c>
    </row>
    <row r="89" spans="1:19" x14ac:dyDescent="0.35">
      <c r="A89">
        <v>88</v>
      </c>
      <c r="B89" t="s">
        <v>12</v>
      </c>
      <c r="C89">
        <v>100</v>
      </c>
      <c r="D89" t="s">
        <v>13</v>
      </c>
      <c r="E89">
        <v>25</v>
      </c>
      <c r="F89">
        <v>0.14000000000000001</v>
      </c>
      <c r="G89">
        <v>17</v>
      </c>
      <c r="H89">
        <v>271</v>
      </c>
      <c r="I89">
        <v>17</v>
      </c>
      <c r="J89">
        <v>4</v>
      </c>
      <c r="K89" t="s">
        <v>17</v>
      </c>
      <c r="L89" t="s">
        <v>15</v>
      </c>
      <c r="M89">
        <v>3</v>
      </c>
      <c r="N89">
        <f t="shared" si="6"/>
        <v>1800</v>
      </c>
      <c r="O89">
        <f t="shared" si="7"/>
        <v>1764</v>
      </c>
      <c r="P89" s="1">
        <f t="shared" si="8"/>
        <v>103.76470588235294</v>
      </c>
      <c r="Q89" s="1">
        <f t="shared" si="9"/>
        <v>8.901179185171082E-2</v>
      </c>
      <c r="R89" s="1">
        <f t="shared" si="10"/>
        <v>17.521971226009274</v>
      </c>
      <c r="S89" s="1">
        <f t="shared" si="11"/>
        <v>0.52197122600927415</v>
      </c>
    </row>
    <row r="90" spans="1:19" x14ac:dyDescent="0.35">
      <c r="A90">
        <v>89</v>
      </c>
      <c r="B90" t="s">
        <v>12</v>
      </c>
      <c r="C90">
        <v>100</v>
      </c>
      <c r="D90" t="s">
        <v>13</v>
      </c>
      <c r="E90">
        <v>25</v>
      </c>
      <c r="F90">
        <v>0.14000000000000001</v>
      </c>
      <c r="G90">
        <v>14</v>
      </c>
      <c r="H90">
        <v>274</v>
      </c>
      <c r="I90">
        <v>14</v>
      </c>
      <c r="J90">
        <v>4</v>
      </c>
      <c r="K90" t="s">
        <v>17</v>
      </c>
      <c r="L90" t="s">
        <v>15</v>
      </c>
      <c r="M90">
        <v>3</v>
      </c>
      <c r="N90">
        <f t="shared" si="6"/>
        <v>1800</v>
      </c>
      <c r="O90">
        <f t="shared" si="7"/>
        <v>1764</v>
      </c>
      <c r="P90" s="1">
        <f t="shared" si="8"/>
        <v>126</v>
      </c>
      <c r="Q90" s="1">
        <f t="shared" si="9"/>
        <v>7.3303828583761846E-2</v>
      </c>
      <c r="R90" s="1">
        <f t="shared" si="10"/>
        <v>14.429858656713519</v>
      </c>
      <c r="S90" s="1">
        <f t="shared" si="11"/>
        <v>0.42985865671351853</v>
      </c>
    </row>
    <row r="91" spans="1:19" x14ac:dyDescent="0.35">
      <c r="A91">
        <v>90</v>
      </c>
      <c r="B91" t="s">
        <v>12</v>
      </c>
      <c r="C91">
        <v>100</v>
      </c>
      <c r="D91" t="s">
        <v>13</v>
      </c>
      <c r="E91">
        <v>25</v>
      </c>
      <c r="F91">
        <v>0.11</v>
      </c>
      <c r="G91">
        <v>194</v>
      </c>
      <c r="H91">
        <v>19</v>
      </c>
      <c r="I91">
        <v>188</v>
      </c>
      <c r="J91">
        <v>6</v>
      </c>
      <c r="K91" t="s">
        <v>14</v>
      </c>
      <c r="L91" t="s">
        <v>15</v>
      </c>
      <c r="M91">
        <v>3</v>
      </c>
      <c r="N91">
        <f t="shared" si="6"/>
        <v>1200</v>
      </c>
      <c r="O91">
        <f t="shared" si="7"/>
        <v>1176</v>
      </c>
      <c r="P91" s="1">
        <f t="shared" si="8"/>
        <v>6.2553191489361701</v>
      </c>
      <c r="Q91" s="1">
        <f t="shared" si="9"/>
        <v>0.9843656981248019</v>
      </c>
      <c r="R91" s="1">
        <f t="shared" si="10"/>
        <v>193.77238767586724</v>
      </c>
      <c r="S91" s="1">
        <f t="shared" si="11"/>
        <v>-0.22761232413276389</v>
      </c>
    </row>
    <row r="92" spans="1:19" x14ac:dyDescent="0.35">
      <c r="A92">
        <v>91</v>
      </c>
      <c r="B92" t="s">
        <v>12</v>
      </c>
      <c r="C92">
        <v>100</v>
      </c>
      <c r="D92" t="s">
        <v>13</v>
      </c>
      <c r="E92">
        <v>25</v>
      </c>
      <c r="F92">
        <v>0.11</v>
      </c>
      <c r="G92">
        <v>172</v>
      </c>
      <c r="H92">
        <v>21</v>
      </c>
      <c r="I92">
        <v>167</v>
      </c>
      <c r="J92">
        <v>6</v>
      </c>
      <c r="K92" t="s">
        <v>14</v>
      </c>
      <c r="L92" t="s">
        <v>15</v>
      </c>
      <c r="M92">
        <v>3</v>
      </c>
      <c r="N92">
        <f t="shared" si="6"/>
        <v>1200</v>
      </c>
      <c r="O92">
        <f t="shared" si="7"/>
        <v>1176</v>
      </c>
      <c r="P92" s="1">
        <f t="shared" si="8"/>
        <v>7.0419161676646711</v>
      </c>
      <c r="Q92" s="1">
        <f t="shared" si="9"/>
        <v>0.87440995524915932</v>
      </c>
      <c r="R92" s="1">
        <f t="shared" si="10"/>
        <v>172.12759969079701</v>
      </c>
      <c r="S92" s="1">
        <f t="shared" si="11"/>
        <v>0.1275996907970125</v>
      </c>
    </row>
    <row r="93" spans="1:19" x14ac:dyDescent="0.35">
      <c r="A93">
        <v>92</v>
      </c>
      <c r="B93" t="s">
        <v>12</v>
      </c>
      <c r="C93">
        <v>100</v>
      </c>
      <c r="D93" t="s">
        <v>13</v>
      </c>
      <c r="E93">
        <v>25</v>
      </c>
      <c r="F93">
        <v>0.11</v>
      </c>
      <c r="G93">
        <v>151</v>
      </c>
      <c r="H93">
        <v>24</v>
      </c>
      <c r="I93">
        <v>147</v>
      </c>
      <c r="J93">
        <v>6</v>
      </c>
      <c r="K93" t="s">
        <v>14</v>
      </c>
      <c r="L93" t="s">
        <v>15</v>
      </c>
      <c r="M93">
        <v>3</v>
      </c>
      <c r="N93">
        <f t="shared" si="6"/>
        <v>1200</v>
      </c>
      <c r="O93">
        <f t="shared" si="7"/>
        <v>1176</v>
      </c>
      <c r="P93" s="1">
        <f t="shared" si="8"/>
        <v>8</v>
      </c>
      <c r="Q93" s="1">
        <f t="shared" si="9"/>
        <v>0.7696902001294994</v>
      </c>
      <c r="R93" s="1">
        <f t="shared" si="10"/>
        <v>151.51351589549196</v>
      </c>
      <c r="S93" s="1">
        <f t="shared" si="11"/>
        <v>0.51351589549196319</v>
      </c>
    </row>
    <row r="94" spans="1:19" x14ac:dyDescent="0.35">
      <c r="A94">
        <v>93</v>
      </c>
      <c r="B94" t="s">
        <v>12</v>
      </c>
      <c r="C94">
        <v>100</v>
      </c>
      <c r="D94" t="s">
        <v>13</v>
      </c>
      <c r="E94">
        <v>25</v>
      </c>
      <c r="F94">
        <v>0.11</v>
      </c>
      <c r="G94">
        <v>118</v>
      </c>
      <c r="H94">
        <v>31</v>
      </c>
      <c r="I94">
        <v>115</v>
      </c>
      <c r="J94">
        <v>6</v>
      </c>
      <c r="K94" t="s">
        <v>16</v>
      </c>
      <c r="L94" t="s">
        <v>15</v>
      </c>
      <c r="M94">
        <v>3</v>
      </c>
      <c r="N94">
        <f t="shared" si="6"/>
        <v>1200</v>
      </c>
      <c r="O94">
        <f t="shared" si="7"/>
        <v>1176</v>
      </c>
      <c r="P94" s="1">
        <f t="shared" si="8"/>
        <v>10.226086956521739</v>
      </c>
      <c r="Q94" s="1">
        <f t="shared" si="9"/>
        <v>0.60213859193804375</v>
      </c>
      <c r="R94" s="1">
        <f t="shared" si="10"/>
        <v>118.53098182300391</v>
      </c>
      <c r="S94" s="1">
        <f t="shared" si="11"/>
        <v>0.53098182300391272</v>
      </c>
    </row>
    <row r="95" spans="1:19" x14ac:dyDescent="0.35">
      <c r="A95">
        <v>94</v>
      </c>
      <c r="B95" t="s">
        <v>12</v>
      </c>
      <c r="C95">
        <v>100</v>
      </c>
      <c r="D95" t="s">
        <v>13</v>
      </c>
      <c r="E95">
        <v>25</v>
      </c>
      <c r="F95">
        <v>0.11</v>
      </c>
      <c r="G95">
        <v>105</v>
      </c>
      <c r="H95">
        <v>35</v>
      </c>
      <c r="I95">
        <v>102</v>
      </c>
      <c r="J95">
        <v>6</v>
      </c>
      <c r="K95" t="s">
        <v>16</v>
      </c>
      <c r="L95" t="s">
        <v>15</v>
      </c>
      <c r="M95">
        <v>3</v>
      </c>
      <c r="N95">
        <f t="shared" si="6"/>
        <v>1200</v>
      </c>
      <c r="O95">
        <f t="shared" si="7"/>
        <v>1176</v>
      </c>
      <c r="P95" s="1">
        <f t="shared" si="8"/>
        <v>11.529411764705882</v>
      </c>
      <c r="Q95" s="1">
        <f t="shared" si="9"/>
        <v>0.53407075111026481</v>
      </c>
      <c r="R95" s="1">
        <f t="shared" si="10"/>
        <v>105.13182735605562</v>
      </c>
      <c r="S95" s="1">
        <f t="shared" si="11"/>
        <v>0.13182735605562357</v>
      </c>
    </row>
    <row r="96" spans="1:19" x14ac:dyDescent="0.35">
      <c r="A96">
        <v>95</v>
      </c>
      <c r="B96" t="s">
        <v>12</v>
      </c>
      <c r="C96">
        <v>100</v>
      </c>
      <c r="D96" t="s">
        <v>13</v>
      </c>
      <c r="E96">
        <v>25</v>
      </c>
      <c r="F96">
        <v>0.11</v>
      </c>
      <c r="G96">
        <v>99</v>
      </c>
      <c r="H96">
        <v>36</v>
      </c>
      <c r="I96">
        <v>96</v>
      </c>
      <c r="J96">
        <v>6</v>
      </c>
      <c r="K96" t="s">
        <v>16</v>
      </c>
      <c r="L96" t="s">
        <v>15</v>
      </c>
      <c r="M96">
        <v>3</v>
      </c>
      <c r="N96">
        <f t="shared" si="6"/>
        <v>1200</v>
      </c>
      <c r="O96">
        <f t="shared" si="7"/>
        <v>1176</v>
      </c>
      <c r="P96" s="1">
        <f t="shared" si="8"/>
        <v>12.25</v>
      </c>
      <c r="Q96" s="1">
        <f t="shared" si="9"/>
        <v>0.50265482457436694</v>
      </c>
      <c r="R96" s="1">
        <f t="shared" si="10"/>
        <v>98.947602217464123</v>
      </c>
      <c r="S96" s="1">
        <f t="shared" si="11"/>
        <v>-5.2397782535877013E-2</v>
      </c>
    </row>
    <row r="97" spans="1:19" x14ac:dyDescent="0.35">
      <c r="A97">
        <v>96</v>
      </c>
      <c r="B97" t="s">
        <v>12</v>
      </c>
      <c r="C97">
        <v>100</v>
      </c>
      <c r="D97" t="s">
        <v>13</v>
      </c>
      <c r="E97">
        <v>25</v>
      </c>
      <c r="F97">
        <v>0.11</v>
      </c>
      <c r="G97">
        <v>88</v>
      </c>
      <c r="H97">
        <v>41</v>
      </c>
      <c r="I97">
        <v>85</v>
      </c>
      <c r="J97">
        <v>6</v>
      </c>
      <c r="K97" t="s">
        <v>16</v>
      </c>
      <c r="L97" t="s">
        <v>15</v>
      </c>
      <c r="M97">
        <v>3</v>
      </c>
      <c r="N97">
        <f t="shared" si="6"/>
        <v>1200</v>
      </c>
      <c r="O97">
        <f t="shared" si="7"/>
        <v>1176</v>
      </c>
      <c r="P97" s="1">
        <f t="shared" si="8"/>
        <v>13.835294117647059</v>
      </c>
      <c r="Q97" s="1">
        <f t="shared" si="9"/>
        <v>0.4450589592585541</v>
      </c>
      <c r="R97" s="1">
        <f t="shared" si="10"/>
        <v>87.609856130046367</v>
      </c>
      <c r="S97" s="1">
        <f t="shared" si="11"/>
        <v>-0.39014386995363282</v>
      </c>
    </row>
    <row r="98" spans="1:19" x14ac:dyDescent="0.35">
      <c r="A98">
        <v>97</v>
      </c>
      <c r="B98" t="s">
        <v>12</v>
      </c>
      <c r="C98">
        <v>100</v>
      </c>
      <c r="D98" t="s">
        <v>13</v>
      </c>
      <c r="E98">
        <v>25</v>
      </c>
      <c r="F98">
        <v>0.11</v>
      </c>
      <c r="G98">
        <v>74</v>
      </c>
      <c r="H98">
        <v>49</v>
      </c>
      <c r="I98">
        <v>72</v>
      </c>
      <c r="J98">
        <v>6</v>
      </c>
      <c r="K98" t="s">
        <v>16</v>
      </c>
      <c r="L98" t="s">
        <v>15</v>
      </c>
      <c r="M98">
        <v>3</v>
      </c>
      <c r="N98">
        <f t="shared" si="6"/>
        <v>1200</v>
      </c>
      <c r="O98">
        <f t="shared" si="7"/>
        <v>1176</v>
      </c>
      <c r="P98" s="1">
        <f t="shared" si="8"/>
        <v>16.333333333333332</v>
      </c>
      <c r="Q98" s="1">
        <f t="shared" si="9"/>
        <v>0.37699111843077521</v>
      </c>
      <c r="R98" s="1">
        <f t="shared" si="10"/>
        <v>74.210701663098092</v>
      </c>
      <c r="S98" s="1">
        <f t="shared" si="11"/>
        <v>0.21070166309809224</v>
      </c>
    </row>
    <row r="99" spans="1:19" x14ac:dyDescent="0.35">
      <c r="A99">
        <v>98</v>
      </c>
      <c r="B99" t="s">
        <v>12</v>
      </c>
      <c r="C99">
        <v>100</v>
      </c>
      <c r="D99" t="s">
        <v>13</v>
      </c>
      <c r="E99">
        <v>25</v>
      </c>
      <c r="F99">
        <v>0.11</v>
      </c>
      <c r="G99">
        <v>71</v>
      </c>
      <c r="H99">
        <v>51</v>
      </c>
      <c r="I99">
        <v>69</v>
      </c>
      <c r="J99">
        <v>6</v>
      </c>
      <c r="K99" t="s">
        <v>16</v>
      </c>
      <c r="L99" t="s">
        <v>15</v>
      </c>
      <c r="M99">
        <v>3</v>
      </c>
      <c r="N99">
        <f t="shared" si="6"/>
        <v>1200</v>
      </c>
      <c r="O99">
        <f t="shared" si="7"/>
        <v>1176</v>
      </c>
      <c r="P99" s="1">
        <f t="shared" si="8"/>
        <v>17.043478260869566</v>
      </c>
      <c r="Q99" s="1">
        <f t="shared" si="9"/>
        <v>0.36128315516282622</v>
      </c>
      <c r="R99" s="1">
        <f t="shared" si="10"/>
        <v>71.118589093802342</v>
      </c>
      <c r="S99" s="1">
        <f t="shared" si="11"/>
        <v>0.11858909380234195</v>
      </c>
    </row>
    <row r="100" spans="1:19" x14ac:dyDescent="0.35">
      <c r="A100">
        <v>99</v>
      </c>
      <c r="B100" t="s">
        <v>12</v>
      </c>
      <c r="C100">
        <v>100</v>
      </c>
      <c r="D100" t="s">
        <v>13</v>
      </c>
      <c r="E100">
        <v>25</v>
      </c>
      <c r="F100">
        <v>0.11</v>
      </c>
      <c r="G100">
        <v>62</v>
      </c>
      <c r="H100">
        <v>58</v>
      </c>
      <c r="I100">
        <v>60</v>
      </c>
      <c r="J100">
        <v>6</v>
      </c>
      <c r="K100" t="s">
        <v>16</v>
      </c>
      <c r="L100" t="s">
        <v>15</v>
      </c>
      <c r="M100">
        <v>3</v>
      </c>
      <c r="N100">
        <f t="shared" si="6"/>
        <v>1200</v>
      </c>
      <c r="O100">
        <f t="shared" si="7"/>
        <v>1176</v>
      </c>
      <c r="P100" s="1">
        <f t="shared" si="8"/>
        <v>19.600000000000001</v>
      </c>
      <c r="Q100" s="1">
        <f t="shared" si="9"/>
        <v>0.31415926535897931</v>
      </c>
      <c r="R100" s="1">
        <f t="shared" si="10"/>
        <v>61.842251385915077</v>
      </c>
      <c r="S100" s="1">
        <f t="shared" si="11"/>
        <v>-0.15774861408492313</v>
      </c>
    </row>
    <row r="101" spans="1:19" x14ac:dyDescent="0.35">
      <c r="A101">
        <v>100</v>
      </c>
      <c r="B101" t="s">
        <v>12</v>
      </c>
      <c r="C101">
        <v>100</v>
      </c>
      <c r="D101" t="s">
        <v>13</v>
      </c>
      <c r="E101">
        <v>25</v>
      </c>
      <c r="F101">
        <v>0.11</v>
      </c>
      <c r="G101">
        <v>55</v>
      </c>
      <c r="H101">
        <v>66</v>
      </c>
      <c r="I101">
        <v>53</v>
      </c>
      <c r="J101">
        <v>6</v>
      </c>
      <c r="K101" t="s">
        <v>16</v>
      </c>
      <c r="L101" t="s">
        <v>15</v>
      </c>
      <c r="M101">
        <v>3</v>
      </c>
      <c r="N101">
        <f t="shared" si="6"/>
        <v>1200</v>
      </c>
      <c r="O101">
        <f t="shared" si="7"/>
        <v>1176</v>
      </c>
      <c r="P101" s="1">
        <f t="shared" si="8"/>
        <v>22.188679245283019</v>
      </c>
      <c r="Q101" s="1">
        <f t="shared" si="9"/>
        <v>0.2775073510670984</v>
      </c>
      <c r="R101" s="1">
        <f t="shared" si="10"/>
        <v>54.627322057558317</v>
      </c>
      <c r="S101" s="1">
        <f t="shared" si="11"/>
        <v>-0.37267794244168329</v>
      </c>
    </row>
    <row r="102" spans="1:19" x14ac:dyDescent="0.35">
      <c r="A102">
        <v>101</v>
      </c>
      <c r="B102" t="s">
        <v>12</v>
      </c>
      <c r="C102">
        <v>100</v>
      </c>
      <c r="D102" t="s">
        <v>13</v>
      </c>
      <c r="E102">
        <v>25</v>
      </c>
      <c r="F102">
        <v>0.11</v>
      </c>
      <c r="G102">
        <v>46</v>
      </c>
      <c r="H102">
        <v>79</v>
      </c>
      <c r="I102">
        <v>45</v>
      </c>
      <c r="J102">
        <v>6</v>
      </c>
      <c r="K102" t="s">
        <v>16</v>
      </c>
      <c r="L102" t="s">
        <v>15</v>
      </c>
      <c r="M102">
        <v>3</v>
      </c>
      <c r="N102">
        <f t="shared" si="6"/>
        <v>1200</v>
      </c>
      <c r="O102">
        <f t="shared" si="7"/>
        <v>1176</v>
      </c>
      <c r="P102" s="1">
        <f t="shared" si="8"/>
        <v>26.133333333333333</v>
      </c>
      <c r="Q102" s="1">
        <f t="shared" si="9"/>
        <v>0.23561944901923448</v>
      </c>
      <c r="R102" s="1">
        <f t="shared" si="10"/>
        <v>46.381688539436304</v>
      </c>
      <c r="S102" s="1">
        <f t="shared" si="11"/>
        <v>0.3816885394363041</v>
      </c>
    </row>
    <row r="103" spans="1:19" x14ac:dyDescent="0.35">
      <c r="A103">
        <v>102</v>
      </c>
      <c r="B103" t="s">
        <v>12</v>
      </c>
      <c r="C103">
        <v>100</v>
      </c>
      <c r="D103" t="s">
        <v>13</v>
      </c>
      <c r="E103">
        <v>25</v>
      </c>
      <c r="F103">
        <v>0.11</v>
      </c>
      <c r="G103">
        <v>37</v>
      </c>
      <c r="H103">
        <v>97</v>
      </c>
      <c r="I103">
        <v>36</v>
      </c>
      <c r="J103">
        <v>6</v>
      </c>
      <c r="K103" t="s">
        <v>16</v>
      </c>
      <c r="L103" t="s">
        <v>15</v>
      </c>
      <c r="M103">
        <v>3</v>
      </c>
      <c r="N103">
        <f t="shared" si="6"/>
        <v>1200</v>
      </c>
      <c r="O103">
        <f t="shared" si="7"/>
        <v>1176</v>
      </c>
      <c r="P103" s="1">
        <f t="shared" si="8"/>
        <v>32.666666666666664</v>
      </c>
      <c r="Q103" s="1">
        <f t="shared" si="9"/>
        <v>0.1884955592153876</v>
      </c>
      <c r="R103" s="1">
        <f t="shared" si="10"/>
        <v>37.105350831549046</v>
      </c>
      <c r="S103" s="1">
        <f t="shared" si="11"/>
        <v>0.10535083154904612</v>
      </c>
    </row>
    <row r="104" spans="1:19" x14ac:dyDescent="0.35">
      <c r="A104">
        <v>103</v>
      </c>
      <c r="B104" t="s">
        <v>12</v>
      </c>
      <c r="C104">
        <v>100</v>
      </c>
      <c r="D104" t="s">
        <v>13</v>
      </c>
      <c r="E104">
        <v>25</v>
      </c>
      <c r="F104">
        <v>0.11</v>
      </c>
      <c r="G104">
        <v>29</v>
      </c>
      <c r="H104">
        <v>125</v>
      </c>
      <c r="I104">
        <v>28</v>
      </c>
      <c r="J104">
        <v>6</v>
      </c>
      <c r="K104" t="s">
        <v>17</v>
      </c>
      <c r="L104" t="s">
        <v>15</v>
      </c>
      <c r="M104">
        <v>3</v>
      </c>
      <c r="N104">
        <f t="shared" si="6"/>
        <v>1200</v>
      </c>
      <c r="O104">
        <f t="shared" si="7"/>
        <v>1176</v>
      </c>
      <c r="P104" s="1">
        <f t="shared" si="8"/>
        <v>42</v>
      </c>
      <c r="Q104" s="1">
        <f t="shared" si="9"/>
        <v>0.14660765716752369</v>
      </c>
      <c r="R104" s="1">
        <f t="shared" si="10"/>
        <v>28.859717313427037</v>
      </c>
      <c r="S104" s="1">
        <f t="shared" si="11"/>
        <v>-0.14028268657296294</v>
      </c>
    </row>
    <row r="105" spans="1:19" x14ac:dyDescent="0.35">
      <c r="A105">
        <v>104</v>
      </c>
      <c r="B105" t="s">
        <v>12</v>
      </c>
      <c r="C105">
        <v>100</v>
      </c>
      <c r="D105" t="s">
        <v>13</v>
      </c>
      <c r="E105">
        <v>25</v>
      </c>
      <c r="F105">
        <v>0.11</v>
      </c>
      <c r="G105">
        <v>24</v>
      </c>
      <c r="H105">
        <v>148</v>
      </c>
      <c r="I105">
        <v>23</v>
      </c>
      <c r="J105">
        <v>6</v>
      </c>
      <c r="K105" t="s">
        <v>17</v>
      </c>
      <c r="L105" t="s">
        <v>15</v>
      </c>
      <c r="M105">
        <v>3</v>
      </c>
      <c r="N105">
        <f t="shared" si="6"/>
        <v>1200</v>
      </c>
      <c r="O105">
        <f t="shared" si="7"/>
        <v>1176</v>
      </c>
      <c r="P105" s="1">
        <f t="shared" si="8"/>
        <v>51.130434782608695</v>
      </c>
      <c r="Q105" s="1">
        <f t="shared" si="9"/>
        <v>0.12042771838760874</v>
      </c>
      <c r="R105" s="1">
        <f t="shared" si="10"/>
        <v>23.706196364600778</v>
      </c>
      <c r="S105" s="1">
        <f t="shared" si="11"/>
        <v>-0.29380363539922172</v>
      </c>
    </row>
    <row r="106" spans="1:19" x14ac:dyDescent="0.35">
      <c r="A106">
        <v>105</v>
      </c>
      <c r="B106" t="s">
        <v>12</v>
      </c>
      <c r="C106">
        <v>100</v>
      </c>
      <c r="D106" t="s">
        <v>13</v>
      </c>
      <c r="E106">
        <v>25</v>
      </c>
      <c r="F106">
        <v>0.11</v>
      </c>
      <c r="G106">
        <v>22</v>
      </c>
      <c r="H106">
        <v>167</v>
      </c>
      <c r="I106">
        <v>21</v>
      </c>
      <c r="J106">
        <v>6</v>
      </c>
      <c r="K106" t="s">
        <v>17</v>
      </c>
      <c r="L106" t="s">
        <v>15</v>
      </c>
      <c r="M106">
        <v>3</v>
      </c>
      <c r="N106">
        <f t="shared" si="6"/>
        <v>1200</v>
      </c>
      <c r="O106">
        <f t="shared" si="7"/>
        <v>1176</v>
      </c>
      <c r="P106" s="1">
        <f t="shared" si="8"/>
        <v>56</v>
      </c>
      <c r="Q106" s="1">
        <f t="shared" si="9"/>
        <v>0.10995574287564276</v>
      </c>
      <c r="R106" s="1">
        <f t="shared" si="10"/>
        <v>21.644787985070277</v>
      </c>
      <c r="S106" s="1">
        <f t="shared" si="11"/>
        <v>-0.3552120149297231</v>
      </c>
    </row>
    <row r="107" spans="1:19" x14ac:dyDescent="0.35">
      <c r="A107">
        <v>106</v>
      </c>
      <c r="B107" t="s">
        <v>12</v>
      </c>
      <c r="C107">
        <v>100</v>
      </c>
      <c r="D107" t="s">
        <v>13</v>
      </c>
      <c r="E107">
        <v>25</v>
      </c>
      <c r="F107">
        <v>0.11</v>
      </c>
      <c r="G107">
        <v>18</v>
      </c>
      <c r="H107">
        <v>200</v>
      </c>
      <c r="I107">
        <v>17</v>
      </c>
      <c r="J107">
        <v>6</v>
      </c>
      <c r="K107" t="s">
        <v>17</v>
      </c>
      <c r="L107" t="s">
        <v>15</v>
      </c>
      <c r="M107">
        <v>3</v>
      </c>
      <c r="N107">
        <f t="shared" si="6"/>
        <v>1200</v>
      </c>
      <c r="O107">
        <f t="shared" si="7"/>
        <v>1176</v>
      </c>
      <c r="P107" s="1">
        <f t="shared" si="8"/>
        <v>69.17647058823529</v>
      </c>
      <c r="Q107" s="1">
        <f t="shared" si="9"/>
        <v>8.901179185171082E-2</v>
      </c>
      <c r="R107" s="1">
        <f t="shared" si="10"/>
        <v>17.521971226009274</v>
      </c>
      <c r="S107" s="1">
        <f t="shared" si="11"/>
        <v>-0.47802877399072585</v>
      </c>
    </row>
    <row r="108" spans="1:19" x14ac:dyDescent="0.35">
      <c r="A108">
        <v>107</v>
      </c>
      <c r="B108" t="s">
        <v>12</v>
      </c>
      <c r="C108">
        <v>100</v>
      </c>
      <c r="D108" t="s">
        <v>13</v>
      </c>
      <c r="E108">
        <v>25</v>
      </c>
      <c r="F108">
        <v>0.11</v>
      </c>
      <c r="G108">
        <v>15</v>
      </c>
      <c r="H108">
        <v>237</v>
      </c>
      <c r="I108">
        <v>15</v>
      </c>
      <c r="J108">
        <v>6</v>
      </c>
      <c r="K108" t="s">
        <v>17</v>
      </c>
      <c r="L108" t="s">
        <v>15</v>
      </c>
      <c r="M108">
        <v>3</v>
      </c>
      <c r="N108">
        <f t="shared" si="6"/>
        <v>1200</v>
      </c>
      <c r="O108">
        <f t="shared" si="7"/>
        <v>1176</v>
      </c>
      <c r="P108" s="1">
        <f t="shared" si="8"/>
        <v>78.400000000000006</v>
      </c>
      <c r="Q108" s="1">
        <f t="shared" si="9"/>
        <v>7.8539816339744828E-2</v>
      </c>
      <c r="R108" s="1">
        <f t="shared" si="10"/>
        <v>15.460562846478769</v>
      </c>
      <c r="S108" s="1">
        <f t="shared" si="11"/>
        <v>0.46056284647876922</v>
      </c>
    </row>
    <row r="109" spans="1:19" x14ac:dyDescent="0.35">
      <c r="A109">
        <v>108</v>
      </c>
      <c r="B109" t="s">
        <v>12</v>
      </c>
      <c r="C109">
        <v>100</v>
      </c>
      <c r="D109" t="s">
        <v>13</v>
      </c>
      <c r="E109">
        <v>25</v>
      </c>
      <c r="F109">
        <v>0.11</v>
      </c>
      <c r="G109">
        <v>13</v>
      </c>
      <c r="H109">
        <v>267</v>
      </c>
      <c r="I109">
        <v>13</v>
      </c>
      <c r="J109">
        <v>6</v>
      </c>
      <c r="K109" t="s">
        <v>17</v>
      </c>
      <c r="L109" t="s">
        <v>15</v>
      </c>
      <c r="M109">
        <v>3</v>
      </c>
      <c r="N109">
        <f t="shared" si="6"/>
        <v>1200</v>
      </c>
      <c r="O109">
        <f t="shared" si="7"/>
        <v>1176</v>
      </c>
      <c r="P109" s="1">
        <f t="shared" si="8"/>
        <v>90.461538461538467</v>
      </c>
      <c r="Q109" s="1">
        <f t="shared" si="9"/>
        <v>6.8067840827778864E-2</v>
      </c>
      <c r="R109" s="1">
        <f t="shared" si="10"/>
        <v>13.39915446694827</v>
      </c>
      <c r="S109" s="1">
        <f t="shared" si="11"/>
        <v>0.39915446694826962</v>
      </c>
    </row>
    <row r="110" spans="1:19" x14ac:dyDescent="0.35">
      <c r="A110">
        <v>109</v>
      </c>
      <c r="B110" t="s">
        <v>12</v>
      </c>
      <c r="C110">
        <v>100</v>
      </c>
      <c r="D110" t="s">
        <v>13</v>
      </c>
      <c r="E110">
        <v>25</v>
      </c>
      <c r="F110">
        <v>0.11</v>
      </c>
      <c r="G110">
        <v>11</v>
      </c>
      <c r="H110">
        <v>274</v>
      </c>
      <c r="I110">
        <v>11</v>
      </c>
      <c r="J110">
        <v>6</v>
      </c>
      <c r="K110" t="s">
        <v>17</v>
      </c>
      <c r="L110" t="s">
        <v>15</v>
      </c>
      <c r="M110">
        <v>3</v>
      </c>
      <c r="N110">
        <f t="shared" si="6"/>
        <v>1200</v>
      </c>
      <c r="O110">
        <f t="shared" si="7"/>
        <v>1176</v>
      </c>
      <c r="P110" s="1">
        <f t="shared" si="8"/>
        <v>106.90909090909091</v>
      </c>
      <c r="Q110" s="1">
        <f t="shared" si="9"/>
        <v>5.7595865315812872E-2</v>
      </c>
      <c r="R110" s="1">
        <f t="shared" si="10"/>
        <v>11.337746087417763</v>
      </c>
      <c r="S110" s="1">
        <f t="shared" si="11"/>
        <v>0.33774608741776291</v>
      </c>
    </row>
    <row r="111" spans="1:19" x14ac:dyDescent="0.35">
      <c r="A111">
        <v>110</v>
      </c>
      <c r="B111" t="s">
        <v>12</v>
      </c>
      <c r="C111">
        <v>100</v>
      </c>
      <c r="D111" t="s">
        <v>13</v>
      </c>
      <c r="E111">
        <v>25</v>
      </c>
      <c r="F111">
        <v>0.11</v>
      </c>
      <c r="G111">
        <v>9</v>
      </c>
      <c r="H111">
        <v>274</v>
      </c>
      <c r="I111">
        <v>9</v>
      </c>
      <c r="J111">
        <v>6</v>
      </c>
      <c r="K111" t="s">
        <v>17</v>
      </c>
      <c r="L111" t="s">
        <v>15</v>
      </c>
      <c r="M111">
        <v>3</v>
      </c>
      <c r="N111">
        <f t="shared" si="6"/>
        <v>1200</v>
      </c>
      <c r="O111">
        <f t="shared" si="7"/>
        <v>1176</v>
      </c>
      <c r="P111" s="1">
        <f t="shared" si="8"/>
        <v>130.66666666666666</v>
      </c>
      <c r="Q111" s="1">
        <f t="shared" si="9"/>
        <v>4.7123889803846901E-2</v>
      </c>
      <c r="R111" s="1">
        <f t="shared" si="10"/>
        <v>9.2763377078872615</v>
      </c>
      <c r="S111" s="1">
        <f t="shared" si="11"/>
        <v>0.27633770788726153</v>
      </c>
    </row>
    <row r="112" spans="1:19" x14ac:dyDescent="0.35">
      <c r="A112" s="2">
        <v>111</v>
      </c>
      <c r="B112" s="2" t="s">
        <v>18</v>
      </c>
      <c r="C112" s="2">
        <v>113</v>
      </c>
      <c r="D112" s="2" t="s">
        <v>13</v>
      </c>
      <c r="E112" s="2">
        <v>25</v>
      </c>
      <c r="F112" s="2">
        <v>0.75</v>
      </c>
      <c r="G112" s="2">
        <v>1039</v>
      </c>
      <c r="H112" s="2">
        <v>22</v>
      </c>
      <c r="I112" s="2">
        <v>892</v>
      </c>
      <c r="J112" s="2">
        <v>2</v>
      </c>
      <c r="K112" s="2" t="s">
        <v>14</v>
      </c>
      <c r="L112" s="2" t="s">
        <v>19</v>
      </c>
      <c r="M112" s="2">
        <v>3</v>
      </c>
      <c r="N112" s="2">
        <f t="shared" si="6"/>
        <v>3600</v>
      </c>
      <c r="O112" s="2">
        <f t="shared" si="7"/>
        <v>3528</v>
      </c>
      <c r="P112" s="3">
        <f t="shared" si="8"/>
        <v>3.9551569506726456</v>
      </c>
      <c r="Q112" s="3">
        <f t="shared" si="9"/>
        <v>5.2776662185206131</v>
      </c>
      <c r="R112" s="3">
        <f t="shared" si="10"/>
        <v>1038.9085951157826</v>
      </c>
      <c r="S112" s="3">
        <f t="shared" si="11"/>
        <v>-9.1404884217354265E-2</v>
      </c>
    </row>
    <row r="113" spans="1:19" x14ac:dyDescent="0.35">
      <c r="A113">
        <v>112</v>
      </c>
      <c r="B113" t="s">
        <v>18</v>
      </c>
      <c r="C113">
        <v>113</v>
      </c>
      <c r="D113" t="s">
        <v>13</v>
      </c>
      <c r="E113">
        <v>25</v>
      </c>
      <c r="F113">
        <v>0.75</v>
      </c>
      <c r="G113">
        <v>945</v>
      </c>
      <c r="H113">
        <v>24</v>
      </c>
      <c r="I113">
        <v>811</v>
      </c>
      <c r="J113">
        <v>2</v>
      </c>
      <c r="K113" t="s">
        <v>14</v>
      </c>
      <c r="L113" t="s">
        <v>19</v>
      </c>
      <c r="M113">
        <v>3</v>
      </c>
      <c r="N113">
        <f t="shared" si="6"/>
        <v>3600</v>
      </c>
      <c r="O113">
        <f t="shared" si="7"/>
        <v>3528</v>
      </c>
      <c r="P113" s="1">
        <f t="shared" si="8"/>
        <v>4.3501849568434032</v>
      </c>
      <c r="Q113" s="1">
        <f t="shared" si="9"/>
        <v>4.7984162592154904</v>
      </c>
      <c r="R113" s="1">
        <f t="shared" si="10"/>
        <v>944.56824062656926</v>
      </c>
      <c r="S113" s="1">
        <f t="shared" si="11"/>
        <v>-0.43175937343073656</v>
      </c>
    </row>
    <row r="114" spans="1:19" x14ac:dyDescent="0.35">
      <c r="A114">
        <v>113</v>
      </c>
      <c r="B114" t="s">
        <v>18</v>
      </c>
      <c r="C114">
        <v>113</v>
      </c>
      <c r="D114" t="s">
        <v>13</v>
      </c>
      <c r="E114">
        <v>25</v>
      </c>
      <c r="F114">
        <v>0.75</v>
      </c>
      <c r="G114">
        <v>756</v>
      </c>
      <c r="H114">
        <v>31</v>
      </c>
      <c r="I114">
        <v>649</v>
      </c>
      <c r="J114">
        <v>2</v>
      </c>
      <c r="K114" t="s">
        <v>14</v>
      </c>
      <c r="L114" t="s">
        <v>19</v>
      </c>
      <c r="M114">
        <v>3</v>
      </c>
      <c r="N114">
        <f t="shared" si="6"/>
        <v>3600</v>
      </c>
      <c r="O114">
        <f t="shared" si="7"/>
        <v>3528</v>
      </c>
      <c r="P114" s="1">
        <f t="shared" si="8"/>
        <v>5.4360554699537751</v>
      </c>
      <c r="Q114" s="1">
        <f t="shared" si="9"/>
        <v>3.8399163406052446</v>
      </c>
      <c r="R114" s="1">
        <f t="shared" si="10"/>
        <v>755.88753164814239</v>
      </c>
      <c r="S114" s="1">
        <f t="shared" si="11"/>
        <v>-0.11246835185761483</v>
      </c>
    </row>
    <row r="115" spans="1:19" x14ac:dyDescent="0.35">
      <c r="A115">
        <v>114</v>
      </c>
      <c r="B115" t="s">
        <v>18</v>
      </c>
      <c r="C115">
        <v>113</v>
      </c>
      <c r="D115" t="s">
        <v>13</v>
      </c>
      <c r="E115">
        <v>25</v>
      </c>
      <c r="F115">
        <v>0.75</v>
      </c>
      <c r="G115">
        <v>661</v>
      </c>
      <c r="H115">
        <v>35</v>
      </c>
      <c r="I115">
        <v>568</v>
      </c>
      <c r="J115">
        <v>2</v>
      </c>
      <c r="K115" t="s">
        <v>14</v>
      </c>
      <c r="L115" t="s">
        <v>19</v>
      </c>
      <c r="M115">
        <v>3</v>
      </c>
      <c r="N115">
        <f t="shared" si="6"/>
        <v>3600</v>
      </c>
      <c r="O115">
        <f t="shared" si="7"/>
        <v>3528</v>
      </c>
      <c r="P115" s="1">
        <f t="shared" si="8"/>
        <v>6.211267605633803</v>
      </c>
      <c r="Q115" s="1">
        <f t="shared" si="9"/>
        <v>3.3606663813001214</v>
      </c>
      <c r="R115" s="1">
        <f t="shared" si="10"/>
        <v>661.54717715892889</v>
      </c>
      <c r="S115" s="1">
        <f t="shared" si="11"/>
        <v>0.54717715892888918</v>
      </c>
    </row>
    <row r="116" spans="1:19" x14ac:dyDescent="0.35">
      <c r="A116">
        <v>115</v>
      </c>
      <c r="B116" t="s">
        <v>18</v>
      </c>
      <c r="C116">
        <v>113</v>
      </c>
      <c r="D116" t="s">
        <v>13</v>
      </c>
      <c r="E116">
        <v>25</v>
      </c>
      <c r="F116">
        <v>0.75</v>
      </c>
      <c r="G116">
        <v>591</v>
      </c>
      <c r="H116">
        <v>39</v>
      </c>
      <c r="I116">
        <v>507</v>
      </c>
      <c r="J116">
        <v>2</v>
      </c>
      <c r="K116" t="s">
        <v>14</v>
      </c>
      <c r="L116" t="s">
        <v>19</v>
      </c>
      <c r="M116">
        <v>3</v>
      </c>
      <c r="N116">
        <f t="shared" si="6"/>
        <v>3600</v>
      </c>
      <c r="O116">
        <f t="shared" si="7"/>
        <v>3528</v>
      </c>
      <c r="P116" s="1">
        <f t="shared" si="8"/>
        <v>6.9585798816568047</v>
      </c>
      <c r="Q116" s="1">
        <f t="shared" si="9"/>
        <v>2.9997497452802135</v>
      </c>
      <c r="R116" s="1">
        <f t="shared" si="10"/>
        <v>590.50073735840999</v>
      </c>
      <c r="S116" s="1">
        <f t="shared" si="11"/>
        <v>-0.49926264159000766</v>
      </c>
    </row>
    <row r="117" spans="1:19" x14ac:dyDescent="0.35">
      <c r="A117">
        <v>116</v>
      </c>
      <c r="B117" t="s">
        <v>18</v>
      </c>
      <c r="C117">
        <v>113</v>
      </c>
      <c r="D117" t="s">
        <v>13</v>
      </c>
      <c r="E117">
        <v>25</v>
      </c>
      <c r="F117">
        <v>0.75</v>
      </c>
      <c r="G117">
        <v>520</v>
      </c>
      <c r="H117">
        <v>45</v>
      </c>
      <c r="I117">
        <v>446</v>
      </c>
      <c r="J117">
        <v>2</v>
      </c>
      <c r="K117" t="s">
        <v>14</v>
      </c>
      <c r="L117" t="s">
        <v>19</v>
      </c>
      <c r="M117">
        <v>3</v>
      </c>
      <c r="N117">
        <f t="shared" si="6"/>
        <v>3600</v>
      </c>
      <c r="O117">
        <f t="shared" si="7"/>
        <v>3528</v>
      </c>
      <c r="P117" s="1">
        <f t="shared" si="8"/>
        <v>7.9103139013452912</v>
      </c>
      <c r="Q117" s="1">
        <f t="shared" si="9"/>
        <v>2.6388331092603066</v>
      </c>
      <c r="R117" s="1">
        <f t="shared" si="10"/>
        <v>519.45429755789132</v>
      </c>
      <c r="S117" s="1">
        <f t="shared" si="11"/>
        <v>-0.54570244210867713</v>
      </c>
    </row>
    <row r="118" spans="1:19" x14ac:dyDescent="0.35">
      <c r="A118">
        <v>117</v>
      </c>
      <c r="B118" t="s">
        <v>18</v>
      </c>
      <c r="C118">
        <v>113</v>
      </c>
      <c r="D118" t="s">
        <v>13</v>
      </c>
      <c r="E118">
        <v>25</v>
      </c>
      <c r="F118">
        <v>0.75</v>
      </c>
      <c r="G118">
        <v>449</v>
      </c>
      <c r="H118">
        <v>50</v>
      </c>
      <c r="I118">
        <v>385</v>
      </c>
      <c r="J118">
        <v>2</v>
      </c>
      <c r="K118" t="s">
        <v>14</v>
      </c>
      <c r="L118" t="s">
        <v>19</v>
      </c>
      <c r="M118">
        <v>3</v>
      </c>
      <c r="N118">
        <f t="shared" si="6"/>
        <v>3600</v>
      </c>
      <c r="O118">
        <f t="shared" si="7"/>
        <v>3528</v>
      </c>
      <c r="P118" s="1">
        <f t="shared" si="8"/>
        <v>9.163636363636364</v>
      </c>
      <c r="Q118" s="1">
        <f t="shared" si="9"/>
        <v>2.2779164732403991</v>
      </c>
      <c r="R118" s="1">
        <f t="shared" si="10"/>
        <v>448.40785775737254</v>
      </c>
      <c r="S118" s="1">
        <f t="shared" si="11"/>
        <v>-0.59214224262746029</v>
      </c>
    </row>
    <row r="119" spans="1:19" x14ac:dyDescent="0.35">
      <c r="A119">
        <v>118</v>
      </c>
      <c r="B119" t="s">
        <v>18</v>
      </c>
      <c r="C119">
        <v>113</v>
      </c>
      <c r="D119" t="s">
        <v>13</v>
      </c>
      <c r="E119">
        <v>25</v>
      </c>
      <c r="F119">
        <v>0.5</v>
      </c>
      <c r="G119">
        <v>1039</v>
      </c>
      <c r="H119">
        <v>15</v>
      </c>
      <c r="I119">
        <v>892</v>
      </c>
      <c r="J119">
        <v>2</v>
      </c>
      <c r="K119" t="s">
        <v>16</v>
      </c>
      <c r="L119" t="s">
        <v>19</v>
      </c>
      <c r="M119">
        <v>3</v>
      </c>
      <c r="N119">
        <f t="shared" si="6"/>
        <v>3600</v>
      </c>
      <c r="O119">
        <f t="shared" si="7"/>
        <v>3528</v>
      </c>
      <c r="P119" s="1">
        <f t="shared" si="8"/>
        <v>3.9551569506726456</v>
      </c>
      <c r="Q119" s="1">
        <f t="shared" si="9"/>
        <v>5.2776662185206131</v>
      </c>
      <c r="R119" s="1">
        <f t="shared" si="10"/>
        <v>1038.9085951157826</v>
      </c>
      <c r="S119" s="1">
        <f t="shared" si="11"/>
        <v>-9.1404884217354265E-2</v>
      </c>
    </row>
    <row r="120" spans="1:19" x14ac:dyDescent="0.35">
      <c r="A120" s="2">
        <v>119</v>
      </c>
      <c r="B120" s="2" t="s">
        <v>18</v>
      </c>
      <c r="C120" s="2">
        <v>113</v>
      </c>
      <c r="D120" s="2" t="s">
        <v>13</v>
      </c>
      <c r="E120" s="2">
        <v>25</v>
      </c>
      <c r="F120" s="2">
        <v>0.5</v>
      </c>
      <c r="G120" s="2">
        <v>945</v>
      </c>
      <c r="H120" s="2">
        <v>17</v>
      </c>
      <c r="I120" s="2">
        <v>881</v>
      </c>
      <c r="J120" s="2">
        <v>2</v>
      </c>
      <c r="K120" s="2" t="s">
        <v>14</v>
      </c>
      <c r="L120" s="2" t="s">
        <v>19</v>
      </c>
      <c r="M120" s="2">
        <v>3</v>
      </c>
      <c r="N120" s="2">
        <f t="shared" si="6"/>
        <v>3600</v>
      </c>
      <c r="O120" s="2">
        <f t="shared" si="7"/>
        <v>3528</v>
      </c>
      <c r="P120" s="3">
        <f t="shared" si="8"/>
        <v>4.0045402951191829</v>
      </c>
      <c r="Q120" s="3">
        <f t="shared" si="9"/>
        <v>5.2125828907137448</v>
      </c>
      <c r="R120" s="3">
        <f t="shared" si="10"/>
        <v>1026.0969420370006</v>
      </c>
      <c r="S120" s="3">
        <f t="shared" si="11"/>
        <v>81.096942037000645</v>
      </c>
    </row>
    <row r="121" spans="1:19" x14ac:dyDescent="0.35">
      <c r="A121">
        <v>120</v>
      </c>
      <c r="B121" t="s">
        <v>18</v>
      </c>
      <c r="C121">
        <v>113</v>
      </c>
      <c r="D121" t="s">
        <v>13</v>
      </c>
      <c r="E121">
        <v>25</v>
      </c>
      <c r="F121">
        <v>0.5</v>
      </c>
      <c r="G121">
        <v>756</v>
      </c>
      <c r="H121">
        <v>21</v>
      </c>
      <c r="I121">
        <v>649</v>
      </c>
      <c r="J121">
        <v>2</v>
      </c>
      <c r="K121" t="s">
        <v>14</v>
      </c>
      <c r="L121" t="s">
        <v>19</v>
      </c>
      <c r="M121">
        <v>3</v>
      </c>
      <c r="N121">
        <f t="shared" si="6"/>
        <v>3600</v>
      </c>
      <c r="O121">
        <f t="shared" si="7"/>
        <v>3528</v>
      </c>
      <c r="P121" s="1">
        <f t="shared" si="8"/>
        <v>5.4360554699537751</v>
      </c>
      <c r="Q121" s="1">
        <f t="shared" si="9"/>
        <v>3.8399163406052446</v>
      </c>
      <c r="R121" s="1">
        <f t="shared" si="10"/>
        <v>755.88753164814239</v>
      </c>
      <c r="S121" s="1">
        <f t="shared" si="11"/>
        <v>-0.11246835185761483</v>
      </c>
    </row>
    <row r="122" spans="1:19" x14ac:dyDescent="0.35">
      <c r="A122">
        <v>121</v>
      </c>
      <c r="B122" t="s">
        <v>18</v>
      </c>
      <c r="C122">
        <v>113</v>
      </c>
      <c r="D122" t="s">
        <v>13</v>
      </c>
      <c r="E122">
        <v>25</v>
      </c>
      <c r="F122">
        <v>0.5</v>
      </c>
      <c r="G122">
        <v>661</v>
      </c>
      <c r="H122">
        <v>23</v>
      </c>
      <c r="I122">
        <v>568</v>
      </c>
      <c r="J122">
        <v>2</v>
      </c>
      <c r="K122" t="s">
        <v>14</v>
      </c>
      <c r="L122" t="s">
        <v>19</v>
      </c>
      <c r="M122">
        <v>3</v>
      </c>
      <c r="N122">
        <f t="shared" si="6"/>
        <v>3600</v>
      </c>
      <c r="O122">
        <f t="shared" si="7"/>
        <v>3528</v>
      </c>
      <c r="P122" s="1">
        <f t="shared" si="8"/>
        <v>6.211267605633803</v>
      </c>
      <c r="Q122" s="1">
        <f t="shared" si="9"/>
        <v>3.3606663813001214</v>
      </c>
      <c r="R122" s="1">
        <f t="shared" si="10"/>
        <v>661.54717715892889</v>
      </c>
      <c r="S122" s="1">
        <f t="shared" si="11"/>
        <v>0.54717715892888918</v>
      </c>
    </row>
    <row r="123" spans="1:19" x14ac:dyDescent="0.35">
      <c r="A123">
        <v>122</v>
      </c>
      <c r="B123" t="s">
        <v>18</v>
      </c>
      <c r="C123">
        <v>113</v>
      </c>
      <c r="D123" t="s">
        <v>13</v>
      </c>
      <c r="E123">
        <v>25</v>
      </c>
      <c r="F123">
        <v>0.5</v>
      </c>
      <c r="G123">
        <v>591</v>
      </c>
      <c r="H123">
        <v>26</v>
      </c>
      <c r="I123">
        <v>507</v>
      </c>
      <c r="J123">
        <v>2</v>
      </c>
      <c r="K123" t="s">
        <v>14</v>
      </c>
      <c r="L123" t="s">
        <v>19</v>
      </c>
      <c r="M123">
        <v>3</v>
      </c>
      <c r="N123">
        <f t="shared" si="6"/>
        <v>3600</v>
      </c>
      <c r="O123">
        <f t="shared" si="7"/>
        <v>3528</v>
      </c>
      <c r="P123" s="1">
        <f t="shared" si="8"/>
        <v>6.9585798816568047</v>
      </c>
      <c r="Q123" s="1">
        <f t="shared" si="9"/>
        <v>2.9997497452802135</v>
      </c>
      <c r="R123" s="1">
        <f t="shared" si="10"/>
        <v>590.50073735840999</v>
      </c>
      <c r="S123" s="1">
        <f t="shared" si="11"/>
        <v>-0.49926264159000766</v>
      </c>
    </row>
    <row r="124" spans="1:19" x14ac:dyDescent="0.35">
      <c r="A124">
        <v>123</v>
      </c>
      <c r="B124" t="s">
        <v>18</v>
      </c>
      <c r="C124">
        <v>113</v>
      </c>
      <c r="D124" t="s">
        <v>13</v>
      </c>
      <c r="E124">
        <v>25</v>
      </c>
      <c r="F124">
        <v>0.5</v>
      </c>
      <c r="G124">
        <v>520</v>
      </c>
      <c r="H124">
        <v>30</v>
      </c>
      <c r="I124">
        <v>446</v>
      </c>
      <c r="J124">
        <v>4</v>
      </c>
      <c r="K124" t="s">
        <v>14</v>
      </c>
      <c r="L124" t="s">
        <v>19</v>
      </c>
      <c r="M124">
        <v>3</v>
      </c>
      <c r="N124">
        <f t="shared" si="6"/>
        <v>1800</v>
      </c>
      <c r="O124">
        <f t="shared" si="7"/>
        <v>1764</v>
      </c>
      <c r="P124" s="1">
        <f t="shared" si="8"/>
        <v>3.9551569506726456</v>
      </c>
      <c r="Q124" s="1">
        <f t="shared" si="9"/>
        <v>2.6388331092603066</v>
      </c>
      <c r="R124" s="1">
        <f t="shared" si="10"/>
        <v>519.45429755789132</v>
      </c>
      <c r="S124" s="1">
        <f t="shared" si="11"/>
        <v>-0.54570244210867713</v>
      </c>
    </row>
    <row r="125" spans="1:19" x14ac:dyDescent="0.35">
      <c r="A125">
        <v>124</v>
      </c>
      <c r="B125" t="s">
        <v>18</v>
      </c>
      <c r="C125">
        <v>113</v>
      </c>
      <c r="D125" t="s">
        <v>13</v>
      </c>
      <c r="E125">
        <v>25</v>
      </c>
      <c r="F125">
        <v>0.5</v>
      </c>
      <c r="G125">
        <v>472</v>
      </c>
      <c r="H125">
        <v>33</v>
      </c>
      <c r="I125">
        <v>406</v>
      </c>
      <c r="J125">
        <v>4</v>
      </c>
      <c r="K125" t="s">
        <v>14</v>
      </c>
      <c r="L125" t="s">
        <v>19</v>
      </c>
      <c r="M125">
        <v>3</v>
      </c>
      <c r="N125">
        <f t="shared" si="6"/>
        <v>1800</v>
      </c>
      <c r="O125">
        <f t="shared" si="7"/>
        <v>1764</v>
      </c>
      <c r="P125" s="1">
        <f t="shared" si="8"/>
        <v>4.3448275862068968</v>
      </c>
      <c r="Q125" s="1">
        <f t="shared" si="9"/>
        <v>2.4021664626898755</v>
      </c>
      <c r="R125" s="1">
        <f t="shared" si="10"/>
        <v>472.86646818050201</v>
      </c>
      <c r="S125" s="1">
        <f t="shared" si="11"/>
        <v>0.86646818050201091</v>
      </c>
    </row>
    <row r="126" spans="1:19" x14ac:dyDescent="0.35">
      <c r="A126">
        <v>125</v>
      </c>
      <c r="B126" t="s">
        <v>18</v>
      </c>
      <c r="C126">
        <v>113</v>
      </c>
      <c r="D126" t="s">
        <v>13</v>
      </c>
      <c r="E126">
        <v>25</v>
      </c>
      <c r="F126">
        <v>0.5</v>
      </c>
      <c r="G126">
        <v>378</v>
      </c>
      <c r="H126">
        <v>41</v>
      </c>
      <c r="I126">
        <v>325</v>
      </c>
      <c r="J126">
        <v>4</v>
      </c>
      <c r="K126" t="s">
        <v>14</v>
      </c>
      <c r="L126" t="s">
        <v>19</v>
      </c>
      <c r="M126">
        <v>3</v>
      </c>
      <c r="N126">
        <f t="shared" si="6"/>
        <v>1800</v>
      </c>
      <c r="O126">
        <f t="shared" si="7"/>
        <v>1764</v>
      </c>
      <c r="P126" s="1">
        <f t="shared" si="8"/>
        <v>5.4276923076923076</v>
      </c>
      <c r="Q126" s="1">
        <f t="shared" si="9"/>
        <v>1.9229165033847526</v>
      </c>
      <c r="R126" s="1">
        <f t="shared" si="10"/>
        <v>378.52611369128851</v>
      </c>
      <c r="S126" s="1">
        <f t="shared" si="11"/>
        <v>0.52611369128851493</v>
      </c>
    </row>
    <row r="127" spans="1:19" x14ac:dyDescent="0.35">
      <c r="A127">
        <v>126</v>
      </c>
      <c r="B127" t="s">
        <v>18</v>
      </c>
      <c r="C127">
        <v>113</v>
      </c>
      <c r="D127" t="s">
        <v>13</v>
      </c>
      <c r="E127">
        <v>25</v>
      </c>
      <c r="F127">
        <v>0.5</v>
      </c>
      <c r="G127">
        <v>331</v>
      </c>
      <c r="H127">
        <v>47</v>
      </c>
      <c r="I127">
        <v>284</v>
      </c>
      <c r="J127">
        <v>4</v>
      </c>
      <c r="K127" t="s">
        <v>14</v>
      </c>
      <c r="L127" t="s">
        <v>19</v>
      </c>
      <c r="M127">
        <v>3</v>
      </c>
      <c r="N127">
        <f t="shared" si="6"/>
        <v>1800</v>
      </c>
      <c r="O127">
        <f t="shared" si="7"/>
        <v>1764</v>
      </c>
      <c r="P127" s="1">
        <f t="shared" si="8"/>
        <v>6.211267605633803</v>
      </c>
      <c r="Q127" s="1">
        <f t="shared" si="9"/>
        <v>1.6803331906500607</v>
      </c>
      <c r="R127" s="1">
        <f t="shared" si="10"/>
        <v>330.77358857946444</v>
      </c>
      <c r="S127" s="1">
        <f t="shared" si="11"/>
        <v>-0.22641142053555541</v>
      </c>
    </row>
    <row r="128" spans="1:19" x14ac:dyDescent="0.35">
      <c r="A128">
        <v>127</v>
      </c>
      <c r="B128" t="s">
        <v>18</v>
      </c>
      <c r="C128">
        <v>113</v>
      </c>
      <c r="D128" t="s">
        <v>13</v>
      </c>
      <c r="E128">
        <v>25</v>
      </c>
      <c r="F128">
        <v>0.5</v>
      </c>
      <c r="G128">
        <v>295</v>
      </c>
      <c r="H128">
        <v>52</v>
      </c>
      <c r="I128">
        <v>254</v>
      </c>
      <c r="J128">
        <v>4</v>
      </c>
      <c r="K128" t="s">
        <v>14</v>
      </c>
      <c r="L128" t="s">
        <v>19</v>
      </c>
      <c r="M128">
        <v>3</v>
      </c>
      <c r="N128">
        <f t="shared" si="6"/>
        <v>1800</v>
      </c>
      <c r="O128">
        <f t="shared" si="7"/>
        <v>1764</v>
      </c>
      <c r="P128" s="1">
        <f t="shared" si="8"/>
        <v>6.9448818897637796</v>
      </c>
      <c r="Q128" s="1">
        <f t="shared" si="9"/>
        <v>1.5028332057222376</v>
      </c>
      <c r="R128" s="1">
        <f t="shared" si="10"/>
        <v>295.83271654642243</v>
      </c>
      <c r="S128" s="1">
        <f t="shared" si="11"/>
        <v>0.8327165464224322</v>
      </c>
    </row>
    <row r="129" spans="1:19" x14ac:dyDescent="0.35">
      <c r="A129">
        <v>128</v>
      </c>
      <c r="B129" t="s">
        <v>18</v>
      </c>
      <c r="C129">
        <v>113</v>
      </c>
      <c r="D129" t="s">
        <v>13</v>
      </c>
      <c r="E129">
        <v>25</v>
      </c>
      <c r="F129">
        <v>0.5</v>
      </c>
      <c r="G129">
        <v>260</v>
      </c>
      <c r="H129">
        <v>60</v>
      </c>
      <c r="I129">
        <v>223</v>
      </c>
      <c r="J129">
        <v>4</v>
      </c>
      <c r="K129" t="s">
        <v>14</v>
      </c>
      <c r="L129" t="s">
        <v>19</v>
      </c>
      <c r="M129">
        <v>3</v>
      </c>
      <c r="N129">
        <f t="shared" si="6"/>
        <v>1800</v>
      </c>
      <c r="O129">
        <f t="shared" si="7"/>
        <v>1764</v>
      </c>
      <c r="P129" s="1">
        <f t="shared" si="8"/>
        <v>7.9103139013452912</v>
      </c>
      <c r="Q129" s="1">
        <f t="shared" si="9"/>
        <v>1.3194165546301533</v>
      </c>
      <c r="R129" s="1">
        <f t="shared" si="10"/>
        <v>259.72714877894566</v>
      </c>
      <c r="S129" s="1">
        <f t="shared" si="11"/>
        <v>-0.27285122105433857</v>
      </c>
    </row>
    <row r="130" spans="1:19" x14ac:dyDescent="0.35">
      <c r="A130">
        <v>129</v>
      </c>
      <c r="B130" t="s">
        <v>18</v>
      </c>
      <c r="C130">
        <v>113</v>
      </c>
      <c r="D130" t="s">
        <v>13</v>
      </c>
      <c r="E130">
        <v>25</v>
      </c>
      <c r="F130">
        <v>0.5</v>
      </c>
      <c r="G130">
        <v>224</v>
      </c>
      <c r="H130">
        <v>69</v>
      </c>
      <c r="I130">
        <v>193</v>
      </c>
      <c r="J130">
        <v>4</v>
      </c>
      <c r="K130" t="s">
        <v>14</v>
      </c>
      <c r="L130" t="s">
        <v>19</v>
      </c>
      <c r="M130">
        <v>3</v>
      </c>
      <c r="N130">
        <f t="shared" si="6"/>
        <v>1800</v>
      </c>
      <c r="O130">
        <f t="shared" si="7"/>
        <v>1764</v>
      </c>
      <c r="P130" s="1">
        <f t="shared" si="8"/>
        <v>9.1398963730569953</v>
      </c>
      <c r="Q130" s="1">
        <f t="shared" si="9"/>
        <v>1.1419165697023301</v>
      </c>
      <c r="R130" s="1">
        <f t="shared" si="10"/>
        <v>224.78627674590368</v>
      </c>
      <c r="S130" s="1">
        <f t="shared" si="11"/>
        <v>0.78627674590367747</v>
      </c>
    </row>
    <row r="131" spans="1:19" x14ac:dyDescent="0.35">
      <c r="A131">
        <v>130</v>
      </c>
      <c r="B131" t="s">
        <v>18</v>
      </c>
      <c r="C131">
        <v>113</v>
      </c>
      <c r="D131" t="s">
        <v>13</v>
      </c>
      <c r="E131">
        <v>25</v>
      </c>
      <c r="F131">
        <v>0.5</v>
      </c>
      <c r="G131">
        <v>201</v>
      </c>
      <c r="H131">
        <v>75</v>
      </c>
      <c r="I131">
        <v>172</v>
      </c>
      <c r="J131">
        <v>4</v>
      </c>
      <c r="K131" t="s">
        <v>16</v>
      </c>
      <c r="L131" t="s">
        <v>19</v>
      </c>
      <c r="M131">
        <v>3</v>
      </c>
      <c r="N131">
        <f t="shared" ref="N131:N194" si="12">60*60*2/J131</f>
        <v>1800</v>
      </c>
      <c r="O131">
        <f t="shared" ref="O131:O194" si="13">N131*(1-0.02)</f>
        <v>1764</v>
      </c>
      <c r="P131" s="1">
        <f t="shared" ref="P131:P194" si="14">O131/I131</f>
        <v>10.255813953488373</v>
      </c>
      <c r="Q131" s="1">
        <f t="shared" ref="Q131:Q194" si="15">(I131*2*PI()/60)*(C131/2000)</f>
        <v>1.0176665802528535</v>
      </c>
      <c r="R131" s="1">
        <f t="shared" ref="R131:R194" si="16">Q131*196.85</f>
        <v>200.32766632277421</v>
      </c>
      <c r="S131" s="1">
        <f t="shared" ref="S131:S194" si="17">R131-G131</f>
        <v>-0.67233367722579374</v>
      </c>
    </row>
    <row r="132" spans="1:19" x14ac:dyDescent="0.35">
      <c r="A132">
        <v>131</v>
      </c>
      <c r="B132" t="s">
        <v>18</v>
      </c>
      <c r="C132">
        <v>113</v>
      </c>
      <c r="D132" t="s">
        <v>13</v>
      </c>
      <c r="E132">
        <v>25</v>
      </c>
      <c r="F132">
        <v>0.5</v>
      </c>
      <c r="G132">
        <v>177</v>
      </c>
      <c r="H132">
        <v>88</v>
      </c>
      <c r="I132">
        <v>152</v>
      </c>
      <c r="J132">
        <v>4</v>
      </c>
      <c r="K132" t="s">
        <v>14</v>
      </c>
      <c r="L132" t="s">
        <v>19</v>
      </c>
      <c r="M132">
        <v>3</v>
      </c>
      <c r="N132">
        <f t="shared" si="12"/>
        <v>1800</v>
      </c>
      <c r="O132">
        <f t="shared" si="13"/>
        <v>1764</v>
      </c>
      <c r="P132" s="1">
        <f t="shared" si="14"/>
        <v>11.605263157894736</v>
      </c>
      <c r="Q132" s="1">
        <f t="shared" si="15"/>
        <v>0.89933325696763811</v>
      </c>
      <c r="R132" s="1">
        <f t="shared" si="16"/>
        <v>177.03375163407955</v>
      </c>
      <c r="S132" s="1">
        <f t="shared" si="17"/>
        <v>3.3751634079550286E-2</v>
      </c>
    </row>
    <row r="133" spans="1:19" x14ac:dyDescent="0.35">
      <c r="A133">
        <v>132</v>
      </c>
      <c r="B133" t="s">
        <v>18</v>
      </c>
      <c r="C133">
        <v>113</v>
      </c>
      <c r="D133" t="s">
        <v>13</v>
      </c>
      <c r="E133">
        <v>25</v>
      </c>
      <c r="F133">
        <v>0.5</v>
      </c>
      <c r="G133">
        <v>165</v>
      </c>
      <c r="H133">
        <v>91</v>
      </c>
      <c r="I133">
        <v>142</v>
      </c>
      <c r="J133">
        <v>4</v>
      </c>
      <c r="K133" t="s">
        <v>16</v>
      </c>
      <c r="L133" t="s">
        <v>19</v>
      </c>
      <c r="M133">
        <v>3</v>
      </c>
      <c r="N133">
        <f t="shared" si="12"/>
        <v>1800</v>
      </c>
      <c r="O133">
        <f t="shared" si="13"/>
        <v>1764</v>
      </c>
      <c r="P133" s="1">
        <f t="shared" si="14"/>
        <v>12.422535211267606</v>
      </c>
      <c r="Q133" s="1">
        <f t="shared" si="15"/>
        <v>0.84016659532503035</v>
      </c>
      <c r="R133" s="1">
        <f t="shared" si="16"/>
        <v>165.38679428973222</v>
      </c>
      <c r="S133" s="1">
        <f t="shared" si="17"/>
        <v>0.3867942897322223</v>
      </c>
    </row>
    <row r="134" spans="1:19" x14ac:dyDescent="0.35">
      <c r="A134">
        <v>133</v>
      </c>
      <c r="B134" t="s">
        <v>18</v>
      </c>
      <c r="C134">
        <v>113</v>
      </c>
      <c r="D134" t="s">
        <v>13</v>
      </c>
      <c r="E134">
        <v>25</v>
      </c>
      <c r="F134">
        <v>0.5</v>
      </c>
      <c r="G134">
        <v>154</v>
      </c>
      <c r="H134">
        <v>98</v>
      </c>
      <c r="I134">
        <v>132</v>
      </c>
      <c r="J134">
        <v>4</v>
      </c>
      <c r="K134" t="s">
        <v>16</v>
      </c>
      <c r="L134" t="s">
        <v>19</v>
      </c>
      <c r="M134">
        <v>3</v>
      </c>
      <c r="N134">
        <f t="shared" si="12"/>
        <v>1800</v>
      </c>
      <c r="O134">
        <f t="shared" si="13"/>
        <v>1764</v>
      </c>
      <c r="P134" s="1">
        <f t="shared" si="14"/>
        <v>13.363636363636363</v>
      </c>
      <c r="Q134" s="1">
        <f t="shared" si="15"/>
        <v>0.7809999336824226</v>
      </c>
      <c r="R134" s="1">
        <f t="shared" si="16"/>
        <v>153.73983694538489</v>
      </c>
      <c r="S134" s="1">
        <f t="shared" si="17"/>
        <v>-0.26016305461510569</v>
      </c>
    </row>
    <row r="135" spans="1:19" x14ac:dyDescent="0.35">
      <c r="A135">
        <v>134</v>
      </c>
      <c r="B135" t="s">
        <v>18</v>
      </c>
      <c r="C135">
        <v>113</v>
      </c>
      <c r="D135" t="s">
        <v>13</v>
      </c>
      <c r="E135">
        <v>25</v>
      </c>
      <c r="F135">
        <v>0.5</v>
      </c>
      <c r="G135">
        <v>142</v>
      </c>
      <c r="H135">
        <v>109</v>
      </c>
      <c r="I135">
        <v>122</v>
      </c>
      <c r="J135">
        <v>4</v>
      </c>
      <c r="K135" t="s">
        <v>14</v>
      </c>
      <c r="L135" t="s">
        <v>19</v>
      </c>
      <c r="M135">
        <v>3</v>
      </c>
      <c r="N135">
        <f t="shared" si="12"/>
        <v>1800</v>
      </c>
      <c r="O135">
        <f t="shared" si="13"/>
        <v>1764</v>
      </c>
      <c r="P135" s="1">
        <f t="shared" si="14"/>
        <v>14.459016393442623</v>
      </c>
      <c r="Q135" s="1">
        <f t="shared" si="15"/>
        <v>0.72183327203981473</v>
      </c>
      <c r="R135" s="1">
        <f t="shared" si="16"/>
        <v>142.09287960103754</v>
      </c>
      <c r="S135" s="1">
        <f t="shared" si="17"/>
        <v>9.2879601037537896E-2</v>
      </c>
    </row>
    <row r="136" spans="1:19" x14ac:dyDescent="0.35">
      <c r="A136">
        <v>135</v>
      </c>
      <c r="B136" t="s">
        <v>18</v>
      </c>
      <c r="C136">
        <v>113</v>
      </c>
      <c r="D136" t="s">
        <v>13</v>
      </c>
      <c r="E136">
        <v>25</v>
      </c>
      <c r="F136">
        <v>0.5</v>
      </c>
      <c r="G136">
        <v>130</v>
      </c>
      <c r="H136">
        <v>116</v>
      </c>
      <c r="I136">
        <v>112</v>
      </c>
      <c r="J136">
        <v>4</v>
      </c>
      <c r="K136" t="s">
        <v>16</v>
      </c>
      <c r="L136" t="s">
        <v>19</v>
      </c>
      <c r="M136">
        <v>3</v>
      </c>
      <c r="N136">
        <f t="shared" si="12"/>
        <v>1800</v>
      </c>
      <c r="O136">
        <f t="shared" si="13"/>
        <v>1764</v>
      </c>
      <c r="P136" s="1">
        <f t="shared" si="14"/>
        <v>15.75</v>
      </c>
      <c r="Q136" s="1">
        <f t="shared" si="15"/>
        <v>0.66266661039720709</v>
      </c>
      <c r="R136" s="1">
        <f t="shared" si="16"/>
        <v>130.44592225669021</v>
      </c>
      <c r="S136" s="1">
        <f t="shared" si="17"/>
        <v>0.44592225669020991</v>
      </c>
    </row>
    <row r="137" spans="1:19" x14ac:dyDescent="0.35">
      <c r="A137">
        <v>136</v>
      </c>
      <c r="B137" t="s">
        <v>18</v>
      </c>
      <c r="C137">
        <v>113</v>
      </c>
      <c r="D137" t="s">
        <v>13</v>
      </c>
      <c r="E137">
        <v>25</v>
      </c>
      <c r="F137">
        <v>0.5</v>
      </c>
      <c r="G137">
        <v>118</v>
      </c>
      <c r="H137">
        <v>127</v>
      </c>
      <c r="I137">
        <v>101</v>
      </c>
      <c r="J137">
        <v>4</v>
      </c>
      <c r="K137" t="s">
        <v>16</v>
      </c>
      <c r="L137" t="s">
        <v>19</v>
      </c>
      <c r="M137">
        <v>3</v>
      </c>
      <c r="N137">
        <f t="shared" si="12"/>
        <v>1800</v>
      </c>
      <c r="O137">
        <f t="shared" si="13"/>
        <v>1764</v>
      </c>
      <c r="P137" s="1">
        <f t="shared" si="14"/>
        <v>17.465346534653467</v>
      </c>
      <c r="Q137" s="1">
        <f t="shared" si="15"/>
        <v>0.59758328259033844</v>
      </c>
      <c r="R137" s="1">
        <f t="shared" si="16"/>
        <v>117.63426917790812</v>
      </c>
      <c r="S137" s="1">
        <f t="shared" si="17"/>
        <v>-0.36573082209187646</v>
      </c>
    </row>
    <row r="138" spans="1:19" x14ac:dyDescent="0.35">
      <c r="A138">
        <v>137</v>
      </c>
      <c r="B138" t="s">
        <v>18</v>
      </c>
      <c r="C138">
        <v>113</v>
      </c>
      <c r="D138" t="s">
        <v>13</v>
      </c>
      <c r="E138">
        <v>25</v>
      </c>
      <c r="F138">
        <v>0.5</v>
      </c>
      <c r="G138">
        <v>106</v>
      </c>
      <c r="H138">
        <v>141</v>
      </c>
      <c r="I138">
        <v>91</v>
      </c>
      <c r="J138">
        <v>4</v>
      </c>
      <c r="K138" t="s">
        <v>16</v>
      </c>
      <c r="L138" t="s">
        <v>19</v>
      </c>
      <c r="M138">
        <v>3</v>
      </c>
      <c r="N138">
        <f t="shared" si="12"/>
        <v>1800</v>
      </c>
      <c r="O138">
        <f t="shared" si="13"/>
        <v>1764</v>
      </c>
      <c r="P138" s="1">
        <f t="shared" si="14"/>
        <v>19.384615384615383</v>
      </c>
      <c r="Q138" s="1">
        <f t="shared" si="15"/>
        <v>0.5384166209477308</v>
      </c>
      <c r="R138" s="1">
        <f t="shared" si="16"/>
        <v>105.98731183356081</v>
      </c>
      <c r="S138" s="1">
        <f t="shared" si="17"/>
        <v>-1.268816643919024E-2</v>
      </c>
    </row>
    <row r="139" spans="1:19" x14ac:dyDescent="0.35">
      <c r="A139">
        <v>138</v>
      </c>
      <c r="B139" t="s">
        <v>18</v>
      </c>
      <c r="C139">
        <v>113</v>
      </c>
      <c r="D139" t="s">
        <v>13</v>
      </c>
      <c r="E139">
        <v>25</v>
      </c>
      <c r="F139">
        <v>0.5</v>
      </c>
      <c r="G139">
        <v>94</v>
      </c>
      <c r="H139">
        <v>161</v>
      </c>
      <c r="I139">
        <v>81</v>
      </c>
      <c r="J139">
        <v>4</v>
      </c>
      <c r="K139" t="s">
        <v>16</v>
      </c>
      <c r="L139" t="s">
        <v>19</v>
      </c>
      <c r="M139">
        <v>3</v>
      </c>
      <c r="N139">
        <f t="shared" si="12"/>
        <v>1800</v>
      </c>
      <c r="O139">
        <f t="shared" si="13"/>
        <v>1764</v>
      </c>
      <c r="P139" s="1">
        <f t="shared" si="14"/>
        <v>21.777777777777779</v>
      </c>
      <c r="Q139" s="1">
        <f t="shared" si="15"/>
        <v>0.47924995930512293</v>
      </c>
      <c r="R139" s="1">
        <f t="shared" si="16"/>
        <v>94.340354489213439</v>
      </c>
      <c r="S139" s="1">
        <f t="shared" si="17"/>
        <v>0.34035448921343914</v>
      </c>
    </row>
    <row r="140" spans="1:19" x14ac:dyDescent="0.35">
      <c r="A140">
        <v>139</v>
      </c>
      <c r="B140" t="s">
        <v>18</v>
      </c>
      <c r="C140">
        <v>113</v>
      </c>
      <c r="D140" t="s">
        <v>13</v>
      </c>
      <c r="E140">
        <v>25</v>
      </c>
      <c r="F140">
        <v>0.5</v>
      </c>
      <c r="G140">
        <v>80</v>
      </c>
      <c r="H140">
        <v>187</v>
      </c>
      <c r="I140">
        <v>69</v>
      </c>
      <c r="J140">
        <v>4</v>
      </c>
      <c r="K140" t="s">
        <v>16</v>
      </c>
      <c r="L140" t="s">
        <v>19</v>
      </c>
      <c r="M140">
        <v>3</v>
      </c>
      <c r="N140">
        <f t="shared" si="12"/>
        <v>1800</v>
      </c>
      <c r="O140">
        <f t="shared" si="13"/>
        <v>1764</v>
      </c>
      <c r="P140" s="1">
        <f t="shared" si="14"/>
        <v>25.565217391304348</v>
      </c>
      <c r="Q140" s="1">
        <f t="shared" si="15"/>
        <v>0.4082499653339936</v>
      </c>
      <c r="R140" s="1">
        <f t="shared" si="16"/>
        <v>80.364005675996637</v>
      </c>
      <c r="S140" s="1">
        <f t="shared" si="17"/>
        <v>0.36400567599663702</v>
      </c>
    </row>
    <row r="141" spans="1:19" x14ac:dyDescent="0.35">
      <c r="A141">
        <v>140</v>
      </c>
      <c r="B141" t="s">
        <v>18</v>
      </c>
      <c r="C141">
        <v>113</v>
      </c>
      <c r="D141" t="s">
        <v>13</v>
      </c>
      <c r="E141">
        <v>25</v>
      </c>
      <c r="F141">
        <v>0.5</v>
      </c>
      <c r="G141">
        <v>64</v>
      </c>
      <c r="H141">
        <v>215</v>
      </c>
      <c r="I141">
        <v>55</v>
      </c>
      <c r="J141">
        <v>4</v>
      </c>
      <c r="K141" t="s">
        <v>16</v>
      </c>
      <c r="L141" t="s">
        <v>19</v>
      </c>
      <c r="M141">
        <v>3</v>
      </c>
      <c r="N141">
        <f t="shared" si="12"/>
        <v>1800</v>
      </c>
      <c r="O141">
        <f t="shared" si="13"/>
        <v>1764</v>
      </c>
      <c r="P141" s="1">
        <f t="shared" si="14"/>
        <v>32.072727272727271</v>
      </c>
      <c r="Q141" s="1">
        <f t="shared" si="15"/>
        <v>0.32541663903434276</v>
      </c>
      <c r="R141" s="1">
        <f t="shared" si="16"/>
        <v>64.058265393910375</v>
      </c>
      <c r="S141" s="1">
        <f t="shared" si="17"/>
        <v>5.8265393910374996E-2</v>
      </c>
    </row>
    <row r="142" spans="1:19" x14ac:dyDescent="0.35">
      <c r="A142">
        <v>141</v>
      </c>
      <c r="B142" t="s">
        <v>18</v>
      </c>
      <c r="C142">
        <v>113</v>
      </c>
      <c r="D142" t="s">
        <v>13</v>
      </c>
      <c r="E142">
        <v>25</v>
      </c>
      <c r="F142">
        <v>0.34</v>
      </c>
      <c r="G142">
        <v>1039</v>
      </c>
      <c r="H142">
        <v>10</v>
      </c>
      <c r="I142">
        <v>892</v>
      </c>
      <c r="J142">
        <v>2</v>
      </c>
      <c r="K142" t="s">
        <v>14</v>
      </c>
      <c r="L142" t="s">
        <v>19</v>
      </c>
      <c r="M142">
        <v>3</v>
      </c>
      <c r="N142">
        <f t="shared" si="12"/>
        <v>3600</v>
      </c>
      <c r="O142">
        <f t="shared" si="13"/>
        <v>3528</v>
      </c>
      <c r="P142" s="1">
        <f t="shared" si="14"/>
        <v>3.9551569506726456</v>
      </c>
      <c r="Q142" s="1">
        <f t="shared" si="15"/>
        <v>5.2776662185206131</v>
      </c>
      <c r="R142" s="1">
        <f t="shared" si="16"/>
        <v>1038.9085951157826</v>
      </c>
      <c r="S142" s="1">
        <f t="shared" si="17"/>
        <v>-9.1404884217354265E-2</v>
      </c>
    </row>
    <row r="143" spans="1:19" x14ac:dyDescent="0.35">
      <c r="A143">
        <v>142</v>
      </c>
      <c r="B143" t="s">
        <v>18</v>
      </c>
      <c r="C143">
        <v>113</v>
      </c>
      <c r="D143" t="s">
        <v>13</v>
      </c>
      <c r="E143">
        <v>25</v>
      </c>
      <c r="F143">
        <v>0.34</v>
      </c>
      <c r="G143">
        <v>945</v>
      </c>
      <c r="H143">
        <v>11</v>
      </c>
      <c r="I143">
        <v>811</v>
      </c>
      <c r="J143">
        <v>2</v>
      </c>
      <c r="K143" t="s">
        <v>14</v>
      </c>
      <c r="L143" t="s">
        <v>19</v>
      </c>
      <c r="M143">
        <v>3</v>
      </c>
      <c r="N143">
        <f t="shared" si="12"/>
        <v>3600</v>
      </c>
      <c r="O143">
        <f t="shared" si="13"/>
        <v>3528</v>
      </c>
      <c r="P143" s="1">
        <f t="shared" si="14"/>
        <v>4.3501849568434032</v>
      </c>
      <c r="Q143" s="1">
        <f t="shared" si="15"/>
        <v>4.7984162592154904</v>
      </c>
      <c r="R143" s="1">
        <f t="shared" si="16"/>
        <v>944.56824062656926</v>
      </c>
      <c r="S143" s="1">
        <f t="shared" si="17"/>
        <v>-0.43175937343073656</v>
      </c>
    </row>
    <row r="144" spans="1:19" x14ac:dyDescent="0.35">
      <c r="A144">
        <v>143</v>
      </c>
      <c r="B144" t="s">
        <v>18</v>
      </c>
      <c r="C144">
        <v>113</v>
      </c>
      <c r="D144" t="s">
        <v>13</v>
      </c>
      <c r="E144">
        <v>25</v>
      </c>
      <c r="F144">
        <v>0.34</v>
      </c>
      <c r="G144">
        <v>756</v>
      </c>
      <c r="H144">
        <v>14</v>
      </c>
      <c r="I144">
        <v>649</v>
      </c>
      <c r="J144">
        <v>2</v>
      </c>
      <c r="K144" t="s">
        <v>14</v>
      </c>
      <c r="L144" t="s">
        <v>19</v>
      </c>
      <c r="M144">
        <v>3</v>
      </c>
      <c r="N144">
        <f t="shared" si="12"/>
        <v>3600</v>
      </c>
      <c r="O144">
        <f t="shared" si="13"/>
        <v>3528</v>
      </c>
      <c r="P144" s="1">
        <f t="shared" si="14"/>
        <v>5.4360554699537751</v>
      </c>
      <c r="Q144" s="1">
        <f t="shared" si="15"/>
        <v>3.8399163406052446</v>
      </c>
      <c r="R144" s="1">
        <f t="shared" si="16"/>
        <v>755.88753164814239</v>
      </c>
      <c r="S144" s="1">
        <f t="shared" si="17"/>
        <v>-0.11246835185761483</v>
      </c>
    </row>
    <row r="145" spans="1:19" x14ac:dyDescent="0.35">
      <c r="A145">
        <v>144</v>
      </c>
      <c r="B145" t="s">
        <v>18</v>
      </c>
      <c r="C145">
        <v>113</v>
      </c>
      <c r="D145" t="s">
        <v>13</v>
      </c>
      <c r="E145">
        <v>25</v>
      </c>
      <c r="F145">
        <v>0.34</v>
      </c>
      <c r="G145">
        <v>661</v>
      </c>
      <c r="H145">
        <v>16</v>
      </c>
      <c r="I145">
        <v>568</v>
      </c>
      <c r="J145">
        <v>2</v>
      </c>
      <c r="K145" t="s">
        <v>14</v>
      </c>
      <c r="L145" t="s">
        <v>19</v>
      </c>
      <c r="M145">
        <v>3</v>
      </c>
      <c r="N145">
        <f t="shared" si="12"/>
        <v>3600</v>
      </c>
      <c r="O145">
        <f t="shared" si="13"/>
        <v>3528</v>
      </c>
      <c r="P145" s="1">
        <f t="shared" si="14"/>
        <v>6.211267605633803</v>
      </c>
      <c r="Q145" s="1">
        <f t="shared" si="15"/>
        <v>3.3606663813001214</v>
      </c>
      <c r="R145" s="1">
        <f t="shared" si="16"/>
        <v>661.54717715892889</v>
      </c>
      <c r="S145" s="1">
        <f t="shared" si="17"/>
        <v>0.54717715892888918</v>
      </c>
    </row>
    <row r="146" spans="1:19" x14ac:dyDescent="0.35">
      <c r="A146">
        <v>145</v>
      </c>
      <c r="B146" t="s">
        <v>18</v>
      </c>
      <c r="C146">
        <v>113</v>
      </c>
      <c r="D146" t="s">
        <v>13</v>
      </c>
      <c r="E146">
        <v>25</v>
      </c>
      <c r="F146">
        <v>0.34</v>
      </c>
      <c r="G146">
        <v>591</v>
      </c>
      <c r="H146">
        <v>18</v>
      </c>
      <c r="I146">
        <v>507</v>
      </c>
      <c r="J146">
        <v>2</v>
      </c>
      <c r="K146" t="s">
        <v>14</v>
      </c>
      <c r="L146" t="s">
        <v>19</v>
      </c>
      <c r="M146">
        <v>3</v>
      </c>
      <c r="N146">
        <f t="shared" si="12"/>
        <v>3600</v>
      </c>
      <c r="O146">
        <f t="shared" si="13"/>
        <v>3528</v>
      </c>
      <c r="P146" s="1">
        <f t="shared" si="14"/>
        <v>6.9585798816568047</v>
      </c>
      <c r="Q146" s="1">
        <f t="shared" si="15"/>
        <v>2.9997497452802135</v>
      </c>
      <c r="R146" s="1">
        <f t="shared" si="16"/>
        <v>590.50073735840999</v>
      </c>
      <c r="S146" s="1">
        <f t="shared" si="17"/>
        <v>-0.49926264159000766</v>
      </c>
    </row>
    <row r="147" spans="1:19" x14ac:dyDescent="0.35">
      <c r="A147">
        <v>146</v>
      </c>
      <c r="B147" t="s">
        <v>18</v>
      </c>
      <c r="C147">
        <v>113</v>
      </c>
      <c r="D147" t="s">
        <v>13</v>
      </c>
      <c r="E147">
        <v>25</v>
      </c>
      <c r="F147">
        <v>0.34</v>
      </c>
      <c r="G147">
        <v>520</v>
      </c>
      <c r="H147">
        <v>21</v>
      </c>
      <c r="I147">
        <v>446</v>
      </c>
      <c r="J147">
        <v>4</v>
      </c>
      <c r="K147" t="s">
        <v>14</v>
      </c>
      <c r="L147" t="s">
        <v>19</v>
      </c>
      <c r="M147">
        <v>3</v>
      </c>
      <c r="N147">
        <f t="shared" si="12"/>
        <v>1800</v>
      </c>
      <c r="O147">
        <f t="shared" si="13"/>
        <v>1764</v>
      </c>
      <c r="P147" s="1">
        <f t="shared" si="14"/>
        <v>3.9551569506726456</v>
      </c>
      <c r="Q147" s="1">
        <f t="shared" si="15"/>
        <v>2.6388331092603066</v>
      </c>
      <c r="R147" s="1">
        <f t="shared" si="16"/>
        <v>519.45429755789132</v>
      </c>
      <c r="S147" s="1">
        <f t="shared" si="17"/>
        <v>-0.54570244210867713</v>
      </c>
    </row>
    <row r="148" spans="1:19" x14ac:dyDescent="0.35">
      <c r="A148">
        <v>147</v>
      </c>
      <c r="B148" t="s">
        <v>18</v>
      </c>
      <c r="C148">
        <v>113</v>
      </c>
      <c r="D148" t="s">
        <v>13</v>
      </c>
      <c r="E148">
        <v>25</v>
      </c>
      <c r="F148">
        <v>0.34</v>
      </c>
      <c r="G148">
        <v>472</v>
      </c>
      <c r="H148">
        <v>22</v>
      </c>
      <c r="I148">
        <v>406</v>
      </c>
      <c r="J148">
        <v>4</v>
      </c>
      <c r="K148" t="s">
        <v>14</v>
      </c>
      <c r="L148" t="s">
        <v>19</v>
      </c>
      <c r="M148">
        <v>3</v>
      </c>
      <c r="N148">
        <f t="shared" si="12"/>
        <v>1800</v>
      </c>
      <c r="O148">
        <f t="shared" si="13"/>
        <v>1764</v>
      </c>
      <c r="P148" s="1">
        <f t="shared" si="14"/>
        <v>4.3448275862068968</v>
      </c>
      <c r="Q148" s="1">
        <f t="shared" si="15"/>
        <v>2.4021664626898755</v>
      </c>
      <c r="R148" s="1">
        <f t="shared" si="16"/>
        <v>472.86646818050201</v>
      </c>
      <c r="S148" s="1">
        <f t="shared" si="17"/>
        <v>0.86646818050201091</v>
      </c>
    </row>
    <row r="149" spans="1:19" x14ac:dyDescent="0.35">
      <c r="A149">
        <v>148</v>
      </c>
      <c r="B149" t="s">
        <v>18</v>
      </c>
      <c r="C149">
        <v>113</v>
      </c>
      <c r="D149" t="s">
        <v>13</v>
      </c>
      <c r="E149">
        <v>25</v>
      </c>
      <c r="F149">
        <v>0.34</v>
      </c>
      <c r="G149">
        <v>378</v>
      </c>
      <c r="H149">
        <v>28</v>
      </c>
      <c r="I149">
        <v>325</v>
      </c>
      <c r="J149">
        <v>4</v>
      </c>
      <c r="K149" t="s">
        <v>14</v>
      </c>
      <c r="L149" t="s">
        <v>19</v>
      </c>
      <c r="M149">
        <v>3</v>
      </c>
      <c r="N149">
        <f t="shared" si="12"/>
        <v>1800</v>
      </c>
      <c r="O149">
        <f t="shared" si="13"/>
        <v>1764</v>
      </c>
      <c r="P149" s="1">
        <f t="shared" si="14"/>
        <v>5.4276923076923076</v>
      </c>
      <c r="Q149" s="1">
        <f t="shared" si="15"/>
        <v>1.9229165033847526</v>
      </c>
      <c r="R149" s="1">
        <f t="shared" si="16"/>
        <v>378.52611369128851</v>
      </c>
      <c r="S149" s="1">
        <f t="shared" si="17"/>
        <v>0.52611369128851493</v>
      </c>
    </row>
    <row r="150" spans="1:19" x14ac:dyDescent="0.35">
      <c r="A150">
        <v>149</v>
      </c>
      <c r="B150" t="s">
        <v>18</v>
      </c>
      <c r="C150">
        <v>113</v>
      </c>
      <c r="D150" t="s">
        <v>13</v>
      </c>
      <c r="E150">
        <v>25</v>
      </c>
      <c r="F150">
        <v>0.34</v>
      </c>
      <c r="G150">
        <v>331</v>
      </c>
      <c r="H150">
        <v>32</v>
      </c>
      <c r="I150">
        <v>284</v>
      </c>
      <c r="J150">
        <v>4</v>
      </c>
      <c r="K150" t="s">
        <v>14</v>
      </c>
      <c r="L150" t="s">
        <v>19</v>
      </c>
      <c r="M150">
        <v>3</v>
      </c>
      <c r="N150">
        <f t="shared" si="12"/>
        <v>1800</v>
      </c>
      <c r="O150">
        <f t="shared" si="13"/>
        <v>1764</v>
      </c>
      <c r="P150" s="1">
        <f t="shared" si="14"/>
        <v>6.211267605633803</v>
      </c>
      <c r="Q150" s="1">
        <f t="shared" si="15"/>
        <v>1.6803331906500607</v>
      </c>
      <c r="R150" s="1">
        <f t="shared" si="16"/>
        <v>330.77358857946444</v>
      </c>
      <c r="S150" s="1">
        <f t="shared" si="17"/>
        <v>-0.22641142053555541</v>
      </c>
    </row>
    <row r="151" spans="1:19" x14ac:dyDescent="0.35">
      <c r="A151">
        <v>150</v>
      </c>
      <c r="B151" t="s">
        <v>18</v>
      </c>
      <c r="C151">
        <v>113</v>
      </c>
      <c r="D151" t="s">
        <v>13</v>
      </c>
      <c r="E151">
        <v>25</v>
      </c>
      <c r="F151">
        <v>0.34</v>
      </c>
      <c r="G151">
        <v>295</v>
      </c>
      <c r="H151">
        <v>36</v>
      </c>
      <c r="I151">
        <v>254</v>
      </c>
      <c r="J151">
        <v>4</v>
      </c>
      <c r="K151" t="s">
        <v>14</v>
      </c>
      <c r="L151" t="s">
        <v>19</v>
      </c>
      <c r="M151">
        <v>3</v>
      </c>
      <c r="N151">
        <f t="shared" si="12"/>
        <v>1800</v>
      </c>
      <c r="O151">
        <f t="shared" si="13"/>
        <v>1764</v>
      </c>
      <c r="P151" s="1">
        <f t="shared" si="14"/>
        <v>6.9448818897637796</v>
      </c>
      <c r="Q151" s="1">
        <f t="shared" si="15"/>
        <v>1.5028332057222376</v>
      </c>
      <c r="R151" s="1">
        <f t="shared" si="16"/>
        <v>295.83271654642243</v>
      </c>
      <c r="S151" s="1">
        <f t="shared" si="17"/>
        <v>0.8327165464224322</v>
      </c>
    </row>
    <row r="152" spans="1:19" x14ac:dyDescent="0.35">
      <c r="A152">
        <v>151</v>
      </c>
      <c r="B152" t="s">
        <v>18</v>
      </c>
      <c r="C152">
        <v>113</v>
      </c>
      <c r="D152" t="s">
        <v>13</v>
      </c>
      <c r="E152">
        <v>25</v>
      </c>
      <c r="F152">
        <v>0.34</v>
      </c>
      <c r="G152">
        <v>260</v>
      </c>
      <c r="H152">
        <v>40</v>
      </c>
      <c r="I152">
        <v>223</v>
      </c>
      <c r="J152">
        <v>4</v>
      </c>
      <c r="K152" t="s">
        <v>14</v>
      </c>
      <c r="L152" t="s">
        <v>19</v>
      </c>
      <c r="M152">
        <v>3</v>
      </c>
      <c r="N152">
        <f t="shared" si="12"/>
        <v>1800</v>
      </c>
      <c r="O152">
        <f t="shared" si="13"/>
        <v>1764</v>
      </c>
      <c r="P152" s="1">
        <f t="shared" si="14"/>
        <v>7.9103139013452912</v>
      </c>
      <c r="Q152" s="1">
        <f t="shared" si="15"/>
        <v>1.3194165546301533</v>
      </c>
      <c r="R152" s="1">
        <f t="shared" si="16"/>
        <v>259.72714877894566</v>
      </c>
      <c r="S152" s="1">
        <f t="shared" si="17"/>
        <v>-0.27285122105433857</v>
      </c>
    </row>
    <row r="153" spans="1:19" x14ac:dyDescent="0.35">
      <c r="A153">
        <v>152</v>
      </c>
      <c r="B153" t="s">
        <v>18</v>
      </c>
      <c r="C153">
        <v>113</v>
      </c>
      <c r="D153" t="s">
        <v>13</v>
      </c>
      <c r="E153">
        <v>25</v>
      </c>
      <c r="F153">
        <v>0.34</v>
      </c>
      <c r="G153">
        <v>224</v>
      </c>
      <c r="H153">
        <v>47</v>
      </c>
      <c r="I153">
        <v>193</v>
      </c>
      <c r="J153">
        <v>4</v>
      </c>
      <c r="K153" t="s">
        <v>14</v>
      </c>
      <c r="L153" t="s">
        <v>19</v>
      </c>
      <c r="M153">
        <v>3</v>
      </c>
      <c r="N153">
        <f t="shared" si="12"/>
        <v>1800</v>
      </c>
      <c r="O153">
        <f t="shared" si="13"/>
        <v>1764</v>
      </c>
      <c r="P153" s="1">
        <f t="shared" si="14"/>
        <v>9.1398963730569953</v>
      </c>
      <c r="Q153" s="1">
        <f t="shared" si="15"/>
        <v>1.1419165697023301</v>
      </c>
      <c r="R153" s="1">
        <f t="shared" si="16"/>
        <v>224.78627674590368</v>
      </c>
      <c r="S153" s="1">
        <f t="shared" si="17"/>
        <v>0.78627674590367747</v>
      </c>
    </row>
    <row r="154" spans="1:19" x14ac:dyDescent="0.35">
      <c r="A154">
        <v>153</v>
      </c>
      <c r="B154" t="s">
        <v>18</v>
      </c>
      <c r="C154">
        <v>113</v>
      </c>
      <c r="D154" t="s">
        <v>13</v>
      </c>
      <c r="E154">
        <v>25</v>
      </c>
      <c r="F154">
        <v>0.34</v>
      </c>
      <c r="G154">
        <v>201</v>
      </c>
      <c r="H154">
        <v>50</v>
      </c>
      <c r="I154">
        <v>172</v>
      </c>
      <c r="J154">
        <v>4</v>
      </c>
      <c r="K154" t="s">
        <v>16</v>
      </c>
      <c r="L154" t="s">
        <v>19</v>
      </c>
      <c r="M154">
        <v>3</v>
      </c>
      <c r="N154">
        <f t="shared" si="12"/>
        <v>1800</v>
      </c>
      <c r="O154">
        <f t="shared" si="13"/>
        <v>1764</v>
      </c>
      <c r="P154" s="1">
        <f t="shared" si="14"/>
        <v>10.255813953488373</v>
      </c>
      <c r="Q154" s="1">
        <f t="shared" si="15"/>
        <v>1.0176665802528535</v>
      </c>
      <c r="R154" s="1">
        <f t="shared" si="16"/>
        <v>200.32766632277421</v>
      </c>
      <c r="S154" s="1">
        <f t="shared" si="17"/>
        <v>-0.67233367722579374</v>
      </c>
    </row>
    <row r="155" spans="1:19" x14ac:dyDescent="0.35">
      <c r="A155">
        <v>154</v>
      </c>
      <c r="B155" t="s">
        <v>18</v>
      </c>
      <c r="C155">
        <v>113</v>
      </c>
      <c r="D155" t="s">
        <v>13</v>
      </c>
      <c r="E155">
        <v>25</v>
      </c>
      <c r="F155">
        <v>0.34</v>
      </c>
      <c r="G155">
        <v>177</v>
      </c>
      <c r="H155">
        <v>57</v>
      </c>
      <c r="I155">
        <v>152</v>
      </c>
      <c r="J155">
        <v>4</v>
      </c>
      <c r="K155" t="s">
        <v>16</v>
      </c>
      <c r="L155" t="s">
        <v>19</v>
      </c>
      <c r="M155">
        <v>3</v>
      </c>
      <c r="N155">
        <f t="shared" si="12"/>
        <v>1800</v>
      </c>
      <c r="O155">
        <f t="shared" si="13"/>
        <v>1764</v>
      </c>
      <c r="P155" s="1">
        <f t="shared" si="14"/>
        <v>11.605263157894736</v>
      </c>
      <c r="Q155" s="1">
        <f t="shared" si="15"/>
        <v>0.89933325696763811</v>
      </c>
      <c r="R155" s="1">
        <f t="shared" si="16"/>
        <v>177.03375163407955</v>
      </c>
      <c r="S155" s="1">
        <f t="shared" si="17"/>
        <v>3.3751634079550286E-2</v>
      </c>
    </row>
    <row r="156" spans="1:19" x14ac:dyDescent="0.35">
      <c r="A156">
        <v>155</v>
      </c>
      <c r="B156" t="s">
        <v>18</v>
      </c>
      <c r="C156">
        <v>113</v>
      </c>
      <c r="D156" t="s">
        <v>13</v>
      </c>
      <c r="E156">
        <v>25</v>
      </c>
      <c r="F156">
        <v>0.34</v>
      </c>
      <c r="G156">
        <v>165</v>
      </c>
      <c r="H156">
        <v>62</v>
      </c>
      <c r="I156">
        <v>142</v>
      </c>
      <c r="J156">
        <v>4</v>
      </c>
      <c r="K156" t="s">
        <v>16</v>
      </c>
      <c r="L156" t="s">
        <v>19</v>
      </c>
      <c r="M156">
        <v>3</v>
      </c>
      <c r="N156">
        <f t="shared" si="12"/>
        <v>1800</v>
      </c>
      <c r="O156">
        <f t="shared" si="13"/>
        <v>1764</v>
      </c>
      <c r="P156" s="1">
        <f t="shared" si="14"/>
        <v>12.422535211267606</v>
      </c>
      <c r="Q156" s="1">
        <f t="shared" si="15"/>
        <v>0.84016659532503035</v>
      </c>
      <c r="R156" s="1">
        <f t="shared" si="16"/>
        <v>165.38679428973222</v>
      </c>
      <c r="S156" s="1">
        <f t="shared" si="17"/>
        <v>0.3867942897322223</v>
      </c>
    </row>
    <row r="157" spans="1:19" x14ac:dyDescent="0.35">
      <c r="A157">
        <v>156</v>
      </c>
      <c r="B157" t="s">
        <v>18</v>
      </c>
      <c r="C157">
        <v>113</v>
      </c>
      <c r="D157" t="s">
        <v>13</v>
      </c>
      <c r="E157">
        <v>25</v>
      </c>
      <c r="F157">
        <v>0.34</v>
      </c>
      <c r="G157">
        <v>154</v>
      </c>
      <c r="H157">
        <v>66</v>
      </c>
      <c r="I157">
        <v>132</v>
      </c>
      <c r="J157">
        <v>4</v>
      </c>
      <c r="K157" t="s">
        <v>16</v>
      </c>
      <c r="L157" t="s">
        <v>19</v>
      </c>
      <c r="M157">
        <v>3</v>
      </c>
      <c r="N157">
        <f t="shared" si="12"/>
        <v>1800</v>
      </c>
      <c r="O157">
        <f t="shared" si="13"/>
        <v>1764</v>
      </c>
      <c r="P157" s="1">
        <f t="shared" si="14"/>
        <v>13.363636363636363</v>
      </c>
      <c r="Q157" s="1">
        <f t="shared" si="15"/>
        <v>0.7809999336824226</v>
      </c>
      <c r="R157" s="1">
        <f t="shared" si="16"/>
        <v>153.73983694538489</v>
      </c>
      <c r="S157" s="1">
        <f t="shared" si="17"/>
        <v>-0.26016305461510569</v>
      </c>
    </row>
    <row r="158" spans="1:19" x14ac:dyDescent="0.35">
      <c r="A158">
        <v>157</v>
      </c>
      <c r="B158" t="s">
        <v>18</v>
      </c>
      <c r="C158">
        <v>113</v>
      </c>
      <c r="D158" t="s">
        <v>13</v>
      </c>
      <c r="E158">
        <v>25</v>
      </c>
      <c r="F158">
        <v>0.34</v>
      </c>
      <c r="G158">
        <v>130</v>
      </c>
      <c r="H158">
        <v>79</v>
      </c>
      <c r="I158">
        <v>112</v>
      </c>
      <c r="J158">
        <v>4</v>
      </c>
      <c r="K158" t="s">
        <v>16</v>
      </c>
      <c r="L158" t="s">
        <v>19</v>
      </c>
      <c r="M158">
        <v>3</v>
      </c>
      <c r="N158">
        <f t="shared" si="12"/>
        <v>1800</v>
      </c>
      <c r="O158">
        <f t="shared" si="13"/>
        <v>1764</v>
      </c>
      <c r="P158" s="1">
        <f t="shared" si="14"/>
        <v>15.75</v>
      </c>
      <c r="Q158" s="1">
        <f t="shared" si="15"/>
        <v>0.66266661039720709</v>
      </c>
      <c r="R158" s="1">
        <f t="shared" si="16"/>
        <v>130.44592225669021</v>
      </c>
      <c r="S158" s="1">
        <f t="shared" si="17"/>
        <v>0.44592225669020991</v>
      </c>
    </row>
    <row r="159" spans="1:19" x14ac:dyDescent="0.35">
      <c r="A159">
        <v>158</v>
      </c>
      <c r="B159" t="s">
        <v>18</v>
      </c>
      <c r="C159">
        <v>113</v>
      </c>
      <c r="D159" t="s">
        <v>13</v>
      </c>
      <c r="E159">
        <v>25</v>
      </c>
      <c r="F159">
        <v>0.34</v>
      </c>
      <c r="G159">
        <v>118</v>
      </c>
      <c r="H159">
        <v>86</v>
      </c>
      <c r="I159">
        <v>101</v>
      </c>
      <c r="J159">
        <v>4</v>
      </c>
      <c r="K159" t="s">
        <v>16</v>
      </c>
      <c r="L159" t="s">
        <v>19</v>
      </c>
      <c r="M159">
        <v>3</v>
      </c>
      <c r="N159">
        <f t="shared" si="12"/>
        <v>1800</v>
      </c>
      <c r="O159">
        <f t="shared" si="13"/>
        <v>1764</v>
      </c>
      <c r="P159" s="1">
        <f t="shared" si="14"/>
        <v>17.465346534653467</v>
      </c>
      <c r="Q159" s="1">
        <f t="shared" si="15"/>
        <v>0.59758328259033844</v>
      </c>
      <c r="R159" s="1">
        <f t="shared" si="16"/>
        <v>117.63426917790812</v>
      </c>
      <c r="S159" s="1">
        <f t="shared" si="17"/>
        <v>-0.36573082209187646</v>
      </c>
    </row>
    <row r="160" spans="1:19" x14ac:dyDescent="0.35">
      <c r="A160">
        <v>159</v>
      </c>
      <c r="B160" t="s">
        <v>18</v>
      </c>
      <c r="C160">
        <v>113</v>
      </c>
      <c r="D160" t="s">
        <v>13</v>
      </c>
      <c r="E160">
        <v>25</v>
      </c>
      <c r="F160">
        <v>0.34</v>
      </c>
      <c r="G160">
        <v>106</v>
      </c>
      <c r="H160">
        <v>95</v>
      </c>
      <c r="I160">
        <v>91</v>
      </c>
      <c r="J160">
        <v>4</v>
      </c>
      <c r="K160" t="s">
        <v>16</v>
      </c>
      <c r="L160" t="s">
        <v>19</v>
      </c>
      <c r="M160">
        <v>3</v>
      </c>
      <c r="N160">
        <f t="shared" si="12"/>
        <v>1800</v>
      </c>
      <c r="O160">
        <f t="shared" si="13"/>
        <v>1764</v>
      </c>
      <c r="P160" s="1">
        <f t="shared" si="14"/>
        <v>19.384615384615383</v>
      </c>
      <c r="Q160" s="1">
        <f t="shared" si="15"/>
        <v>0.5384166209477308</v>
      </c>
      <c r="R160" s="1">
        <f t="shared" si="16"/>
        <v>105.98731183356081</v>
      </c>
      <c r="S160" s="1">
        <f t="shared" si="17"/>
        <v>-1.268816643919024E-2</v>
      </c>
    </row>
    <row r="161" spans="1:19" x14ac:dyDescent="0.35">
      <c r="A161">
        <v>160</v>
      </c>
      <c r="B161" t="s">
        <v>18</v>
      </c>
      <c r="C161">
        <v>113</v>
      </c>
      <c r="D161" t="s">
        <v>13</v>
      </c>
      <c r="E161">
        <v>25</v>
      </c>
      <c r="F161">
        <v>0.34</v>
      </c>
      <c r="G161">
        <v>94</v>
      </c>
      <c r="H161">
        <v>108</v>
      </c>
      <c r="I161">
        <v>81</v>
      </c>
      <c r="J161">
        <v>4</v>
      </c>
      <c r="K161" t="s">
        <v>16</v>
      </c>
      <c r="L161" t="s">
        <v>19</v>
      </c>
      <c r="M161">
        <v>3</v>
      </c>
      <c r="N161">
        <f t="shared" si="12"/>
        <v>1800</v>
      </c>
      <c r="O161">
        <f t="shared" si="13"/>
        <v>1764</v>
      </c>
      <c r="P161" s="1">
        <f t="shared" si="14"/>
        <v>21.777777777777779</v>
      </c>
      <c r="Q161" s="1">
        <f t="shared" si="15"/>
        <v>0.47924995930512293</v>
      </c>
      <c r="R161" s="1">
        <f t="shared" si="16"/>
        <v>94.340354489213439</v>
      </c>
      <c r="S161" s="1">
        <f t="shared" si="17"/>
        <v>0.34035448921343914</v>
      </c>
    </row>
    <row r="162" spans="1:19" x14ac:dyDescent="0.35">
      <c r="A162">
        <v>161</v>
      </c>
      <c r="B162" t="s">
        <v>18</v>
      </c>
      <c r="C162">
        <v>113</v>
      </c>
      <c r="D162" t="s">
        <v>13</v>
      </c>
      <c r="E162">
        <v>25</v>
      </c>
      <c r="F162">
        <v>0.34</v>
      </c>
      <c r="G162">
        <v>80</v>
      </c>
      <c r="H162">
        <v>126</v>
      </c>
      <c r="I162">
        <v>69</v>
      </c>
      <c r="J162">
        <v>4</v>
      </c>
      <c r="K162" t="s">
        <v>16</v>
      </c>
      <c r="L162" t="s">
        <v>19</v>
      </c>
      <c r="M162">
        <v>3</v>
      </c>
      <c r="N162">
        <f t="shared" si="12"/>
        <v>1800</v>
      </c>
      <c r="O162">
        <f t="shared" si="13"/>
        <v>1764</v>
      </c>
      <c r="P162" s="1">
        <f t="shared" si="14"/>
        <v>25.565217391304348</v>
      </c>
      <c r="Q162" s="1">
        <f t="shared" si="15"/>
        <v>0.4082499653339936</v>
      </c>
      <c r="R162" s="1">
        <f t="shared" si="16"/>
        <v>80.364005675996637</v>
      </c>
      <c r="S162" s="1">
        <f t="shared" si="17"/>
        <v>0.36400567599663702</v>
      </c>
    </row>
    <row r="163" spans="1:19" x14ac:dyDescent="0.35">
      <c r="A163">
        <v>162</v>
      </c>
      <c r="B163" t="s">
        <v>18</v>
      </c>
      <c r="C163">
        <v>113</v>
      </c>
      <c r="D163" t="s">
        <v>13</v>
      </c>
      <c r="E163">
        <v>25</v>
      </c>
      <c r="F163">
        <v>0.34</v>
      </c>
      <c r="G163">
        <v>64</v>
      </c>
      <c r="H163">
        <v>159</v>
      </c>
      <c r="I163">
        <v>55</v>
      </c>
      <c r="J163">
        <v>4</v>
      </c>
      <c r="K163" t="s">
        <v>16</v>
      </c>
      <c r="L163" t="s">
        <v>19</v>
      </c>
      <c r="M163">
        <v>3</v>
      </c>
      <c r="N163">
        <f t="shared" si="12"/>
        <v>1800</v>
      </c>
      <c r="O163">
        <f t="shared" si="13"/>
        <v>1764</v>
      </c>
      <c r="P163" s="1">
        <f t="shared" si="14"/>
        <v>32.072727272727271</v>
      </c>
      <c r="Q163" s="1">
        <f t="shared" si="15"/>
        <v>0.32541663903434276</v>
      </c>
      <c r="R163" s="1">
        <f t="shared" si="16"/>
        <v>64.058265393910375</v>
      </c>
      <c r="S163" s="1">
        <f t="shared" si="17"/>
        <v>5.8265393910374996E-2</v>
      </c>
    </row>
    <row r="164" spans="1:19" x14ac:dyDescent="0.35">
      <c r="A164">
        <v>163</v>
      </c>
      <c r="B164" t="s">
        <v>18</v>
      </c>
      <c r="C164">
        <v>113</v>
      </c>
      <c r="D164" t="s">
        <v>13</v>
      </c>
      <c r="E164">
        <v>25</v>
      </c>
      <c r="F164">
        <v>0.34</v>
      </c>
      <c r="G164">
        <v>236</v>
      </c>
      <c r="H164">
        <v>45</v>
      </c>
      <c r="I164">
        <v>203</v>
      </c>
      <c r="J164">
        <v>6</v>
      </c>
      <c r="K164" t="s">
        <v>14</v>
      </c>
      <c r="L164" t="s">
        <v>19</v>
      </c>
      <c r="M164">
        <v>3</v>
      </c>
      <c r="N164">
        <f t="shared" si="12"/>
        <v>1200</v>
      </c>
      <c r="O164">
        <f t="shared" si="13"/>
        <v>1176</v>
      </c>
      <c r="P164" s="1">
        <f t="shared" si="14"/>
        <v>5.7931034482758621</v>
      </c>
      <c r="Q164" s="1">
        <f t="shared" si="15"/>
        <v>1.2010832313449378</v>
      </c>
      <c r="R164" s="1">
        <f t="shared" si="16"/>
        <v>236.43323409025101</v>
      </c>
      <c r="S164" s="1">
        <f t="shared" si="17"/>
        <v>0.43323409025100545</v>
      </c>
    </row>
    <row r="165" spans="1:19" x14ac:dyDescent="0.35">
      <c r="A165">
        <v>164</v>
      </c>
      <c r="B165" t="s">
        <v>18</v>
      </c>
      <c r="C165">
        <v>113</v>
      </c>
      <c r="D165" t="s">
        <v>13</v>
      </c>
      <c r="E165">
        <v>25</v>
      </c>
      <c r="F165">
        <v>0.34</v>
      </c>
      <c r="G165">
        <v>213</v>
      </c>
      <c r="H165">
        <v>50</v>
      </c>
      <c r="I165">
        <v>183</v>
      </c>
      <c r="J165">
        <v>6</v>
      </c>
      <c r="K165" t="s">
        <v>14</v>
      </c>
      <c r="L165" t="s">
        <v>19</v>
      </c>
      <c r="M165">
        <v>3</v>
      </c>
      <c r="N165">
        <f t="shared" si="12"/>
        <v>1200</v>
      </c>
      <c r="O165">
        <f t="shared" si="13"/>
        <v>1176</v>
      </c>
      <c r="P165" s="1">
        <f t="shared" si="14"/>
        <v>6.4262295081967213</v>
      </c>
      <c r="Q165" s="1">
        <f t="shared" si="15"/>
        <v>1.082749908059722</v>
      </c>
      <c r="R165" s="1">
        <f t="shared" si="16"/>
        <v>213.13931940155626</v>
      </c>
      <c r="S165" s="1">
        <f t="shared" si="17"/>
        <v>0.13931940155626421</v>
      </c>
    </row>
    <row r="166" spans="1:19" x14ac:dyDescent="0.35">
      <c r="A166">
        <v>165</v>
      </c>
      <c r="B166" t="s">
        <v>18</v>
      </c>
      <c r="C166">
        <v>113</v>
      </c>
      <c r="D166" t="s">
        <v>13</v>
      </c>
      <c r="E166">
        <v>25</v>
      </c>
      <c r="F166">
        <v>0.34</v>
      </c>
      <c r="G166">
        <v>189</v>
      </c>
      <c r="H166">
        <v>55</v>
      </c>
      <c r="I166">
        <v>162</v>
      </c>
      <c r="J166">
        <v>6</v>
      </c>
      <c r="K166" t="s">
        <v>14</v>
      </c>
      <c r="L166" t="s">
        <v>19</v>
      </c>
      <c r="M166">
        <v>3</v>
      </c>
      <c r="N166">
        <f t="shared" si="12"/>
        <v>1200</v>
      </c>
      <c r="O166">
        <f t="shared" si="13"/>
        <v>1176</v>
      </c>
      <c r="P166" s="1">
        <f t="shared" si="14"/>
        <v>7.2592592592592595</v>
      </c>
      <c r="Q166" s="1">
        <f t="shared" si="15"/>
        <v>0.95849991861024586</v>
      </c>
      <c r="R166" s="1">
        <f t="shared" si="16"/>
        <v>188.68070897842688</v>
      </c>
      <c r="S166" s="1">
        <f t="shared" si="17"/>
        <v>-0.31929102157312172</v>
      </c>
    </row>
    <row r="167" spans="1:19" x14ac:dyDescent="0.35">
      <c r="A167">
        <v>166</v>
      </c>
      <c r="B167" t="s">
        <v>18</v>
      </c>
      <c r="C167">
        <v>113</v>
      </c>
      <c r="D167" t="s">
        <v>13</v>
      </c>
      <c r="E167">
        <v>25</v>
      </c>
      <c r="F167">
        <v>0.34</v>
      </c>
      <c r="G167">
        <v>165</v>
      </c>
      <c r="H167">
        <v>64</v>
      </c>
      <c r="I167">
        <v>142</v>
      </c>
      <c r="J167">
        <v>6</v>
      </c>
      <c r="K167" t="s">
        <v>14</v>
      </c>
      <c r="L167" t="s">
        <v>19</v>
      </c>
      <c r="M167">
        <v>3</v>
      </c>
      <c r="N167">
        <f t="shared" si="12"/>
        <v>1200</v>
      </c>
      <c r="O167">
        <f t="shared" si="13"/>
        <v>1176</v>
      </c>
      <c r="P167" s="1">
        <f t="shared" si="14"/>
        <v>8.28169014084507</v>
      </c>
      <c r="Q167" s="1">
        <f t="shared" si="15"/>
        <v>0.84016659532503035</v>
      </c>
      <c r="R167" s="1">
        <f t="shared" si="16"/>
        <v>165.38679428973222</v>
      </c>
      <c r="S167" s="1">
        <f t="shared" si="17"/>
        <v>0.3867942897322223</v>
      </c>
    </row>
    <row r="168" spans="1:19" x14ac:dyDescent="0.35">
      <c r="A168">
        <v>167</v>
      </c>
      <c r="B168" t="s">
        <v>18</v>
      </c>
      <c r="C168">
        <v>113</v>
      </c>
      <c r="D168" t="s">
        <v>13</v>
      </c>
      <c r="E168">
        <v>25</v>
      </c>
      <c r="F168">
        <v>0.34</v>
      </c>
      <c r="G168">
        <v>142</v>
      </c>
      <c r="H168">
        <v>74</v>
      </c>
      <c r="I168">
        <v>122</v>
      </c>
      <c r="J168">
        <v>6</v>
      </c>
      <c r="K168" t="s">
        <v>14</v>
      </c>
      <c r="L168" t="s">
        <v>19</v>
      </c>
      <c r="M168">
        <v>3</v>
      </c>
      <c r="N168">
        <f t="shared" si="12"/>
        <v>1200</v>
      </c>
      <c r="O168">
        <f t="shared" si="13"/>
        <v>1176</v>
      </c>
      <c r="P168" s="1">
        <f t="shared" si="14"/>
        <v>9.6393442622950811</v>
      </c>
      <c r="Q168" s="1">
        <f t="shared" si="15"/>
        <v>0.72183327203981473</v>
      </c>
      <c r="R168" s="1">
        <f t="shared" si="16"/>
        <v>142.09287960103754</v>
      </c>
      <c r="S168" s="1">
        <f t="shared" si="17"/>
        <v>9.2879601037537896E-2</v>
      </c>
    </row>
    <row r="169" spans="1:19" x14ac:dyDescent="0.35">
      <c r="A169">
        <v>168</v>
      </c>
      <c r="B169" t="s">
        <v>18</v>
      </c>
      <c r="C169">
        <v>113</v>
      </c>
      <c r="D169" t="s">
        <v>13</v>
      </c>
      <c r="E169">
        <v>25</v>
      </c>
      <c r="F169">
        <v>0.34</v>
      </c>
      <c r="G169">
        <v>118</v>
      </c>
      <c r="H169">
        <v>89</v>
      </c>
      <c r="I169">
        <v>101</v>
      </c>
      <c r="J169">
        <v>6</v>
      </c>
      <c r="K169" t="s">
        <v>14</v>
      </c>
      <c r="L169" t="s">
        <v>19</v>
      </c>
      <c r="M169">
        <v>3</v>
      </c>
      <c r="N169">
        <f t="shared" si="12"/>
        <v>1200</v>
      </c>
      <c r="O169">
        <f t="shared" si="13"/>
        <v>1176</v>
      </c>
      <c r="P169" s="1">
        <f t="shared" si="14"/>
        <v>11.643564356435643</v>
      </c>
      <c r="Q169" s="1">
        <f t="shared" si="15"/>
        <v>0.59758328259033844</v>
      </c>
      <c r="R169" s="1">
        <f t="shared" si="16"/>
        <v>117.63426917790812</v>
      </c>
      <c r="S169" s="1">
        <f t="shared" si="17"/>
        <v>-0.36573082209187646</v>
      </c>
    </row>
    <row r="170" spans="1:19" x14ac:dyDescent="0.35">
      <c r="A170">
        <v>169</v>
      </c>
      <c r="B170" t="s">
        <v>18</v>
      </c>
      <c r="C170">
        <v>113</v>
      </c>
      <c r="D170" t="s">
        <v>13</v>
      </c>
      <c r="E170">
        <v>25</v>
      </c>
      <c r="F170">
        <v>0.34</v>
      </c>
      <c r="G170">
        <v>94</v>
      </c>
      <c r="H170">
        <v>111</v>
      </c>
      <c r="I170">
        <v>81</v>
      </c>
      <c r="J170">
        <v>6</v>
      </c>
      <c r="K170" t="s">
        <v>14</v>
      </c>
      <c r="L170" t="s">
        <v>19</v>
      </c>
      <c r="M170">
        <v>3</v>
      </c>
      <c r="N170">
        <f t="shared" si="12"/>
        <v>1200</v>
      </c>
      <c r="O170">
        <f t="shared" si="13"/>
        <v>1176</v>
      </c>
      <c r="P170" s="1">
        <f t="shared" si="14"/>
        <v>14.518518518518519</v>
      </c>
      <c r="Q170" s="1">
        <f t="shared" si="15"/>
        <v>0.47924995930512293</v>
      </c>
      <c r="R170" s="1">
        <f t="shared" si="16"/>
        <v>94.340354489213439</v>
      </c>
      <c r="S170" s="1">
        <f t="shared" si="17"/>
        <v>0.34035448921343914</v>
      </c>
    </row>
    <row r="171" spans="1:19" x14ac:dyDescent="0.35">
      <c r="A171">
        <v>170</v>
      </c>
      <c r="B171" t="s">
        <v>18</v>
      </c>
      <c r="C171">
        <v>113</v>
      </c>
      <c r="D171" t="s">
        <v>13</v>
      </c>
      <c r="E171">
        <v>25</v>
      </c>
      <c r="F171">
        <v>0.34</v>
      </c>
      <c r="G171">
        <v>69</v>
      </c>
      <c r="H171">
        <v>149</v>
      </c>
      <c r="I171">
        <v>59</v>
      </c>
      <c r="J171">
        <v>6</v>
      </c>
      <c r="K171" t="s">
        <v>16</v>
      </c>
      <c r="L171" t="s">
        <v>19</v>
      </c>
      <c r="M171">
        <v>3</v>
      </c>
      <c r="N171">
        <f t="shared" si="12"/>
        <v>1200</v>
      </c>
      <c r="O171">
        <f t="shared" si="13"/>
        <v>1176</v>
      </c>
      <c r="P171" s="1">
        <f t="shared" si="14"/>
        <v>19.932203389830509</v>
      </c>
      <c r="Q171" s="1">
        <f t="shared" si="15"/>
        <v>0.34908330369138585</v>
      </c>
      <c r="R171" s="1">
        <f t="shared" si="16"/>
        <v>68.717048331649309</v>
      </c>
      <c r="S171" s="1">
        <f t="shared" si="17"/>
        <v>-0.28295166835069097</v>
      </c>
    </row>
    <row r="172" spans="1:19" x14ac:dyDescent="0.35">
      <c r="A172">
        <v>171</v>
      </c>
      <c r="B172" t="s">
        <v>18</v>
      </c>
      <c r="C172">
        <v>113</v>
      </c>
      <c r="D172" t="s">
        <v>13</v>
      </c>
      <c r="E172">
        <v>25</v>
      </c>
      <c r="F172">
        <v>0.34</v>
      </c>
      <c r="G172">
        <v>59</v>
      </c>
      <c r="H172">
        <v>172</v>
      </c>
      <c r="I172">
        <v>51</v>
      </c>
      <c r="J172">
        <v>6</v>
      </c>
      <c r="K172" t="s">
        <v>16</v>
      </c>
      <c r="L172" t="s">
        <v>19</v>
      </c>
      <c r="M172">
        <v>3</v>
      </c>
      <c r="N172">
        <f t="shared" si="12"/>
        <v>1200</v>
      </c>
      <c r="O172">
        <f t="shared" si="13"/>
        <v>1176</v>
      </c>
      <c r="P172" s="1">
        <f t="shared" si="14"/>
        <v>23.058823529411764</v>
      </c>
      <c r="Q172" s="1">
        <f t="shared" si="15"/>
        <v>0.30174997437729961</v>
      </c>
      <c r="R172" s="1">
        <f t="shared" si="16"/>
        <v>59.399482456171427</v>
      </c>
      <c r="S172" s="1">
        <f t="shared" si="17"/>
        <v>0.39948245617142675</v>
      </c>
    </row>
    <row r="173" spans="1:19" x14ac:dyDescent="0.35">
      <c r="A173">
        <v>172</v>
      </c>
      <c r="B173" t="s">
        <v>18</v>
      </c>
      <c r="C173">
        <v>113</v>
      </c>
      <c r="D173" t="s">
        <v>13</v>
      </c>
      <c r="E173">
        <v>25</v>
      </c>
      <c r="F173">
        <v>0.34</v>
      </c>
      <c r="G173">
        <v>50</v>
      </c>
      <c r="H173">
        <v>205</v>
      </c>
      <c r="I173">
        <v>43</v>
      </c>
      <c r="J173">
        <v>6</v>
      </c>
      <c r="K173" t="s">
        <v>16</v>
      </c>
      <c r="L173" t="s">
        <v>19</v>
      </c>
      <c r="M173">
        <v>3</v>
      </c>
      <c r="N173">
        <f t="shared" si="12"/>
        <v>1200</v>
      </c>
      <c r="O173">
        <f t="shared" si="13"/>
        <v>1176</v>
      </c>
      <c r="P173" s="1">
        <f t="shared" si="14"/>
        <v>27.348837209302324</v>
      </c>
      <c r="Q173" s="1">
        <f t="shared" si="15"/>
        <v>0.25441664506321338</v>
      </c>
      <c r="R173" s="1">
        <f t="shared" si="16"/>
        <v>50.081916580693552</v>
      </c>
      <c r="S173" s="1">
        <f t="shared" si="17"/>
        <v>8.1916580693551566E-2</v>
      </c>
    </row>
    <row r="174" spans="1:19" x14ac:dyDescent="0.35">
      <c r="A174">
        <v>173</v>
      </c>
      <c r="B174" t="s">
        <v>18</v>
      </c>
      <c r="C174">
        <v>113</v>
      </c>
      <c r="D174" t="s">
        <v>13</v>
      </c>
      <c r="E174">
        <v>25</v>
      </c>
      <c r="F174">
        <v>0.34</v>
      </c>
      <c r="G174">
        <v>40</v>
      </c>
      <c r="H174">
        <v>215</v>
      </c>
      <c r="I174">
        <v>34</v>
      </c>
      <c r="J174">
        <v>6</v>
      </c>
      <c r="K174" t="s">
        <v>16</v>
      </c>
      <c r="L174" t="s">
        <v>19</v>
      </c>
      <c r="M174">
        <v>3</v>
      </c>
      <c r="N174">
        <f t="shared" si="12"/>
        <v>1200</v>
      </c>
      <c r="O174">
        <f t="shared" si="13"/>
        <v>1176</v>
      </c>
      <c r="P174" s="1">
        <f t="shared" si="14"/>
        <v>34.588235294117645</v>
      </c>
      <c r="Q174" s="1">
        <f t="shared" si="15"/>
        <v>0.20116664958486644</v>
      </c>
      <c r="R174" s="1">
        <f t="shared" si="16"/>
        <v>39.599654970780954</v>
      </c>
      <c r="S174" s="1">
        <f t="shared" si="17"/>
        <v>-0.40034502921904647</v>
      </c>
    </row>
    <row r="175" spans="1:19" x14ac:dyDescent="0.35">
      <c r="A175">
        <v>174</v>
      </c>
      <c r="B175" t="s">
        <v>18</v>
      </c>
      <c r="C175">
        <v>113</v>
      </c>
      <c r="D175" t="s">
        <v>13</v>
      </c>
      <c r="E175">
        <v>25</v>
      </c>
      <c r="F175">
        <v>0.25</v>
      </c>
      <c r="G175">
        <v>378</v>
      </c>
      <c r="H175">
        <v>20</v>
      </c>
      <c r="I175">
        <v>325</v>
      </c>
      <c r="J175">
        <v>4</v>
      </c>
      <c r="K175" t="s">
        <v>14</v>
      </c>
      <c r="L175" t="s">
        <v>19</v>
      </c>
      <c r="M175">
        <v>3</v>
      </c>
      <c r="N175">
        <f t="shared" si="12"/>
        <v>1800</v>
      </c>
      <c r="O175">
        <f t="shared" si="13"/>
        <v>1764</v>
      </c>
      <c r="P175" s="1">
        <f t="shared" si="14"/>
        <v>5.4276923076923076</v>
      </c>
      <c r="Q175" s="1">
        <f t="shared" si="15"/>
        <v>1.9229165033847526</v>
      </c>
      <c r="R175" s="1">
        <f t="shared" si="16"/>
        <v>378.52611369128851</v>
      </c>
      <c r="S175" s="1">
        <f t="shared" si="17"/>
        <v>0.52611369128851493</v>
      </c>
    </row>
    <row r="176" spans="1:19" x14ac:dyDescent="0.35">
      <c r="A176">
        <v>175</v>
      </c>
      <c r="B176" t="s">
        <v>18</v>
      </c>
      <c r="C176">
        <v>113</v>
      </c>
      <c r="D176" t="s">
        <v>13</v>
      </c>
      <c r="E176">
        <v>25</v>
      </c>
      <c r="F176">
        <v>0.25</v>
      </c>
      <c r="G176">
        <v>331</v>
      </c>
      <c r="H176">
        <v>22</v>
      </c>
      <c r="I176">
        <v>284</v>
      </c>
      <c r="J176">
        <v>4</v>
      </c>
      <c r="K176" t="s">
        <v>14</v>
      </c>
      <c r="L176" t="s">
        <v>19</v>
      </c>
      <c r="M176">
        <v>3</v>
      </c>
      <c r="N176">
        <f t="shared" si="12"/>
        <v>1800</v>
      </c>
      <c r="O176">
        <f t="shared" si="13"/>
        <v>1764</v>
      </c>
      <c r="P176" s="1">
        <f t="shared" si="14"/>
        <v>6.211267605633803</v>
      </c>
      <c r="Q176" s="1">
        <f t="shared" si="15"/>
        <v>1.6803331906500607</v>
      </c>
      <c r="R176" s="1">
        <f t="shared" si="16"/>
        <v>330.77358857946444</v>
      </c>
      <c r="S176" s="1">
        <f t="shared" si="17"/>
        <v>-0.22641142053555541</v>
      </c>
    </row>
    <row r="177" spans="1:19" x14ac:dyDescent="0.35">
      <c r="A177">
        <v>176</v>
      </c>
      <c r="B177" t="s">
        <v>18</v>
      </c>
      <c r="C177">
        <v>113</v>
      </c>
      <c r="D177" t="s">
        <v>13</v>
      </c>
      <c r="E177">
        <v>25</v>
      </c>
      <c r="F177">
        <v>0.25</v>
      </c>
      <c r="G177">
        <v>295</v>
      </c>
      <c r="H177">
        <v>25</v>
      </c>
      <c r="I177">
        <v>254</v>
      </c>
      <c r="J177">
        <v>4</v>
      </c>
      <c r="K177" t="s">
        <v>14</v>
      </c>
      <c r="L177" t="s">
        <v>19</v>
      </c>
      <c r="M177">
        <v>3</v>
      </c>
      <c r="N177">
        <f t="shared" si="12"/>
        <v>1800</v>
      </c>
      <c r="O177">
        <f t="shared" si="13"/>
        <v>1764</v>
      </c>
      <c r="P177" s="1">
        <f t="shared" si="14"/>
        <v>6.9448818897637796</v>
      </c>
      <c r="Q177" s="1">
        <f t="shared" si="15"/>
        <v>1.5028332057222376</v>
      </c>
      <c r="R177" s="1">
        <f t="shared" si="16"/>
        <v>295.83271654642243</v>
      </c>
      <c r="S177" s="1">
        <f t="shared" si="17"/>
        <v>0.8327165464224322</v>
      </c>
    </row>
    <row r="178" spans="1:19" x14ac:dyDescent="0.35">
      <c r="A178">
        <v>177</v>
      </c>
      <c r="B178" t="s">
        <v>18</v>
      </c>
      <c r="C178">
        <v>113</v>
      </c>
      <c r="D178" t="s">
        <v>13</v>
      </c>
      <c r="E178">
        <v>25</v>
      </c>
      <c r="F178">
        <v>0.25</v>
      </c>
      <c r="G178">
        <v>260</v>
      </c>
      <c r="H178">
        <v>29</v>
      </c>
      <c r="I178">
        <v>223</v>
      </c>
      <c r="J178">
        <v>4</v>
      </c>
      <c r="K178" t="s">
        <v>14</v>
      </c>
      <c r="L178" t="s">
        <v>19</v>
      </c>
      <c r="M178">
        <v>3</v>
      </c>
      <c r="N178">
        <f t="shared" si="12"/>
        <v>1800</v>
      </c>
      <c r="O178">
        <f t="shared" si="13"/>
        <v>1764</v>
      </c>
      <c r="P178" s="1">
        <f t="shared" si="14"/>
        <v>7.9103139013452912</v>
      </c>
      <c r="Q178" s="1">
        <f t="shared" si="15"/>
        <v>1.3194165546301533</v>
      </c>
      <c r="R178" s="1">
        <f t="shared" si="16"/>
        <v>259.72714877894566</v>
      </c>
      <c r="S178" s="1">
        <f t="shared" si="17"/>
        <v>-0.27285122105433857</v>
      </c>
    </row>
    <row r="179" spans="1:19" x14ac:dyDescent="0.35">
      <c r="A179">
        <v>178</v>
      </c>
      <c r="B179" t="s">
        <v>18</v>
      </c>
      <c r="C179">
        <v>113</v>
      </c>
      <c r="D179" t="s">
        <v>13</v>
      </c>
      <c r="E179">
        <v>25</v>
      </c>
      <c r="F179">
        <v>0.25</v>
      </c>
      <c r="G179">
        <v>224</v>
      </c>
      <c r="H179">
        <v>34</v>
      </c>
      <c r="I179">
        <v>193</v>
      </c>
      <c r="J179">
        <v>4</v>
      </c>
      <c r="K179" t="s">
        <v>14</v>
      </c>
      <c r="L179" t="s">
        <v>19</v>
      </c>
      <c r="M179">
        <v>3</v>
      </c>
      <c r="N179">
        <f t="shared" si="12"/>
        <v>1800</v>
      </c>
      <c r="O179">
        <f t="shared" si="13"/>
        <v>1764</v>
      </c>
      <c r="P179" s="1">
        <f t="shared" si="14"/>
        <v>9.1398963730569953</v>
      </c>
      <c r="Q179" s="1">
        <f t="shared" si="15"/>
        <v>1.1419165697023301</v>
      </c>
      <c r="R179" s="1">
        <f t="shared" si="16"/>
        <v>224.78627674590368</v>
      </c>
      <c r="S179" s="1">
        <f t="shared" si="17"/>
        <v>0.78627674590367747</v>
      </c>
    </row>
    <row r="180" spans="1:19" x14ac:dyDescent="0.35">
      <c r="A180">
        <v>179</v>
      </c>
      <c r="B180" t="s">
        <v>18</v>
      </c>
      <c r="C180">
        <v>113</v>
      </c>
      <c r="D180" t="s">
        <v>13</v>
      </c>
      <c r="E180">
        <v>25</v>
      </c>
      <c r="F180">
        <v>0.25</v>
      </c>
      <c r="G180">
        <v>201</v>
      </c>
      <c r="H180">
        <v>36</v>
      </c>
      <c r="I180">
        <v>172</v>
      </c>
      <c r="J180">
        <v>4</v>
      </c>
      <c r="K180" t="s">
        <v>16</v>
      </c>
      <c r="L180" t="s">
        <v>19</v>
      </c>
      <c r="M180">
        <v>3</v>
      </c>
      <c r="N180">
        <f t="shared" si="12"/>
        <v>1800</v>
      </c>
      <c r="O180">
        <f t="shared" si="13"/>
        <v>1764</v>
      </c>
      <c r="P180" s="1">
        <f t="shared" si="14"/>
        <v>10.255813953488373</v>
      </c>
      <c r="Q180" s="1">
        <f t="shared" si="15"/>
        <v>1.0176665802528535</v>
      </c>
      <c r="R180" s="1">
        <f t="shared" si="16"/>
        <v>200.32766632277421</v>
      </c>
      <c r="S180" s="1">
        <f t="shared" si="17"/>
        <v>-0.67233367722579374</v>
      </c>
    </row>
    <row r="181" spans="1:19" x14ac:dyDescent="0.35">
      <c r="A181">
        <v>180</v>
      </c>
      <c r="B181" t="s">
        <v>18</v>
      </c>
      <c r="C181">
        <v>113</v>
      </c>
      <c r="D181" t="s">
        <v>13</v>
      </c>
      <c r="E181">
        <v>25</v>
      </c>
      <c r="F181">
        <v>0.25</v>
      </c>
      <c r="G181">
        <v>177</v>
      </c>
      <c r="H181">
        <v>41</v>
      </c>
      <c r="I181">
        <v>152</v>
      </c>
      <c r="J181">
        <v>4</v>
      </c>
      <c r="K181" t="s">
        <v>16</v>
      </c>
      <c r="L181" t="s">
        <v>19</v>
      </c>
      <c r="M181">
        <v>3</v>
      </c>
      <c r="N181">
        <f t="shared" si="12"/>
        <v>1800</v>
      </c>
      <c r="O181">
        <f t="shared" si="13"/>
        <v>1764</v>
      </c>
      <c r="P181" s="1">
        <f t="shared" si="14"/>
        <v>11.605263157894736</v>
      </c>
      <c r="Q181" s="1">
        <f t="shared" si="15"/>
        <v>0.89933325696763811</v>
      </c>
      <c r="R181" s="1">
        <f t="shared" si="16"/>
        <v>177.03375163407955</v>
      </c>
      <c r="S181" s="1">
        <f t="shared" si="17"/>
        <v>3.3751634079550286E-2</v>
      </c>
    </row>
    <row r="182" spans="1:19" x14ac:dyDescent="0.35">
      <c r="A182">
        <v>181</v>
      </c>
      <c r="B182" t="s">
        <v>18</v>
      </c>
      <c r="C182">
        <v>113</v>
      </c>
      <c r="D182" t="s">
        <v>13</v>
      </c>
      <c r="E182">
        <v>25</v>
      </c>
      <c r="F182">
        <v>0.25</v>
      </c>
      <c r="G182">
        <v>165</v>
      </c>
      <c r="H182">
        <v>44</v>
      </c>
      <c r="I182">
        <v>142</v>
      </c>
      <c r="J182">
        <v>4</v>
      </c>
      <c r="K182" t="s">
        <v>16</v>
      </c>
      <c r="L182" t="s">
        <v>19</v>
      </c>
      <c r="M182">
        <v>3</v>
      </c>
      <c r="N182">
        <f t="shared" si="12"/>
        <v>1800</v>
      </c>
      <c r="O182">
        <f t="shared" si="13"/>
        <v>1764</v>
      </c>
      <c r="P182" s="1">
        <f t="shared" si="14"/>
        <v>12.422535211267606</v>
      </c>
      <c r="Q182" s="1">
        <f t="shared" si="15"/>
        <v>0.84016659532503035</v>
      </c>
      <c r="R182" s="1">
        <f t="shared" si="16"/>
        <v>165.38679428973222</v>
      </c>
      <c r="S182" s="1">
        <f t="shared" si="17"/>
        <v>0.3867942897322223</v>
      </c>
    </row>
    <row r="183" spans="1:19" x14ac:dyDescent="0.35">
      <c r="A183">
        <v>182</v>
      </c>
      <c r="B183" t="s">
        <v>18</v>
      </c>
      <c r="C183">
        <v>113</v>
      </c>
      <c r="D183" t="s">
        <v>13</v>
      </c>
      <c r="E183">
        <v>25</v>
      </c>
      <c r="F183">
        <v>0.25</v>
      </c>
      <c r="G183">
        <v>154</v>
      </c>
      <c r="H183">
        <v>48</v>
      </c>
      <c r="I183">
        <v>132</v>
      </c>
      <c r="J183">
        <v>4</v>
      </c>
      <c r="K183" t="s">
        <v>16</v>
      </c>
      <c r="L183" t="s">
        <v>19</v>
      </c>
      <c r="M183">
        <v>3</v>
      </c>
      <c r="N183">
        <f t="shared" si="12"/>
        <v>1800</v>
      </c>
      <c r="O183">
        <f t="shared" si="13"/>
        <v>1764</v>
      </c>
      <c r="P183" s="1">
        <f t="shared" si="14"/>
        <v>13.363636363636363</v>
      </c>
      <c r="Q183" s="1">
        <f t="shared" si="15"/>
        <v>0.7809999336824226</v>
      </c>
      <c r="R183" s="1">
        <f t="shared" si="16"/>
        <v>153.73983694538489</v>
      </c>
      <c r="S183" s="1">
        <f t="shared" si="17"/>
        <v>-0.26016305461510569</v>
      </c>
    </row>
    <row r="184" spans="1:19" x14ac:dyDescent="0.35">
      <c r="A184">
        <v>183</v>
      </c>
      <c r="B184" t="s">
        <v>18</v>
      </c>
      <c r="C184">
        <v>113</v>
      </c>
      <c r="D184" t="s">
        <v>13</v>
      </c>
      <c r="E184">
        <v>25</v>
      </c>
      <c r="F184">
        <v>0.25</v>
      </c>
      <c r="G184">
        <v>130</v>
      </c>
      <c r="H184">
        <v>56</v>
      </c>
      <c r="I184">
        <v>112</v>
      </c>
      <c r="J184">
        <v>4</v>
      </c>
      <c r="K184" t="s">
        <v>16</v>
      </c>
      <c r="L184" t="s">
        <v>19</v>
      </c>
      <c r="M184">
        <v>3</v>
      </c>
      <c r="N184">
        <f t="shared" si="12"/>
        <v>1800</v>
      </c>
      <c r="O184">
        <f t="shared" si="13"/>
        <v>1764</v>
      </c>
      <c r="P184" s="1">
        <f t="shared" si="14"/>
        <v>15.75</v>
      </c>
      <c r="Q184" s="1">
        <f t="shared" si="15"/>
        <v>0.66266661039720709</v>
      </c>
      <c r="R184" s="1">
        <f t="shared" si="16"/>
        <v>130.44592225669021</v>
      </c>
      <c r="S184" s="1">
        <f t="shared" si="17"/>
        <v>0.44592225669020991</v>
      </c>
    </row>
    <row r="185" spans="1:19" x14ac:dyDescent="0.35">
      <c r="A185">
        <v>184</v>
      </c>
      <c r="B185" t="s">
        <v>18</v>
      </c>
      <c r="C185">
        <v>113</v>
      </c>
      <c r="D185" t="s">
        <v>13</v>
      </c>
      <c r="E185">
        <v>25</v>
      </c>
      <c r="F185">
        <v>0.25</v>
      </c>
      <c r="G185">
        <v>118</v>
      </c>
      <c r="H185">
        <v>62</v>
      </c>
      <c r="I185">
        <v>101</v>
      </c>
      <c r="J185">
        <v>4</v>
      </c>
      <c r="K185" t="s">
        <v>16</v>
      </c>
      <c r="L185" t="s">
        <v>19</v>
      </c>
      <c r="M185">
        <v>3</v>
      </c>
      <c r="N185">
        <f t="shared" si="12"/>
        <v>1800</v>
      </c>
      <c r="O185">
        <f t="shared" si="13"/>
        <v>1764</v>
      </c>
      <c r="P185" s="1">
        <f t="shared" si="14"/>
        <v>17.465346534653467</v>
      </c>
      <c r="Q185" s="1">
        <f t="shared" si="15"/>
        <v>0.59758328259033844</v>
      </c>
      <c r="R185" s="1">
        <f t="shared" si="16"/>
        <v>117.63426917790812</v>
      </c>
      <c r="S185" s="1">
        <f t="shared" si="17"/>
        <v>-0.36573082209187646</v>
      </c>
    </row>
    <row r="186" spans="1:19" x14ac:dyDescent="0.35">
      <c r="A186">
        <v>185</v>
      </c>
      <c r="B186" t="s">
        <v>18</v>
      </c>
      <c r="C186">
        <v>113</v>
      </c>
      <c r="D186" t="s">
        <v>13</v>
      </c>
      <c r="E186">
        <v>25</v>
      </c>
      <c r="F186">
        <v>0.25</v>
      </c>
      <c r="G186">
        <v>106</v>
      </c>
      <c r="H186">
        <v>69</v>
      </c>
      <c r="I186">
        <v>91</v>
      </c>
      <c r="J186">
        <v>4</v>
      </c>
      <c r="K186" t="s">
        <v>16</v>
      </c>
      <c r="L186" t="s">
        <v>19</v>
      </c>
      <c r="M186">
        <v>3</v>
      </c>
      <c r="N186">
        <f t="shared" si="12"/>
        <v>1800</v>
      </c>
      <c r="O186">
        <f t="shared" si="13"/>
        <v>1764</v>
      </c>
      <c r="P186" s="1">
        <f t="shared" si="14"/>
        <v>19.384615384615383</v>
      </c>
      <c r="Q186" s="1">
        <f t="shared" si="15"/>
        <v>0.5384166209477308</v>
      </c>
      <c r="R186" s="1">
        <f t="shared" si="16"/>
        <v>105.98731183356081</v>
      </c>
      <c r="S186" s="1">
        <f t="shared" si="17"/>
        <v>-1.268816643919024E-2</v>
      </c>
    </row>
    <row r="187" spans="1:19" x14ac:dyDescent="0.35">
      <c r="A187">
        <v>186</v>
      </c>
      <c r="B187" t="s">
        <v>18</v>
      </c>
      <c r="C187">
        <v>113</v>
      </c>
      <c r="D187" t="s">
        <v>13</v>
      </c>
      <c r="E187">
        <v>25</v>
      </c>
      <c r="F187">
        <v>0.25</v>
      </c>
      <c r="G187">
        <v>94</v>
      </c>
      <c r="H187">
        <v>78</v>
      </c>
      <c r="I187">
        <v>81</v>
      </c>
      <c r="J187">
        <v>4</v>
      </c>
      <c r="K187" t="s">
        <v>16</v>
      </c>
      <c r="L187" t="s">
        <v>19</v>
      </c>
      <c r="M187">
        <v>3</v>
      </c>
      <c r="N187">
        <f t="shared" si="12"/>
        <v>1800</v>
      </c>
      <c r="O187">
        <f t="shared" si="13"/>
        <v>1764</v>
      </c>
      <c r="P187" s="1">
        <f t="shared" si="14"/>
        <v>21.777777777777779</v>
      </c>
      <c r="Q187" s="1">
        <f t="shared" si="15"/>
        <v>0.47924995930512293</v>
      </c>
      <c r="R187" s="1">
        <f t="shared" si="16"/>
        <v>94.340354489213439</v>
      </c>
      <c r="S187" s="1">
        <f t="shared" si="17"/>
        <v>0.34035448921343914</v>
      </c>
    </row>
    <row r="188" spans="1:19" x14ac:dyDescent="0.35">
      <c r="A188">
        <v>187</v>
      </c>
      <c r="B188" t="s">
        <v>18</v>
      </c>
      <c r="C188">
        <v>113</v>
      </c>
      <c r="D188" t="s">
        <v>13</v>
      </c>
      <c r="E188">
        <v>25</v>
      </c>
      <c r="F188">
        <v>0.25</v>
      </c>
      <c r="G188">
        <v>80</v>
      </c>
      <c r="H188">
        <v>91</v>
      </c>
      <c r="I188">
        <v>69</v>
      </c>
      <c r="J188">
        <v>4</v>
      </c>
      <c r="K188" t="s">
        <v>16</v>
      </c>
      <c r="L188" t="s">
        <v>19</v>
      </c>
      <c r="M188">
        <v>3</v>
      </c>
      <c r="N188">
        <f t="shared" si="12"/>
        <v>1800</v>
      </c>
      <c r="O188">
        <f t="shared" si="13"/>
        <v>1764</v>
      </c>
      <c r="P188" s="1">
        <f t="shared" si="14"/>
        <v>25.565217391304348</v>
      </c>
      <c r="Q188" s="1">
        <f t="shared" si="15"/>
        <v>0.4082499653339936</v>
      </c>
      <c r="R188" s="1">
        <f t="shared" si="16"/>
        <v>80.364005675996637</v>
      </c>
      <c r="S188" s="1">
        <f t="shared" si="17"/>
        <v>0.36400567599663702</v>
      </c>
    </row>
    <row r="189" spans="1:19" x14ac:dyDescent="0.35">
      <c r="A189">
        <v>188</v>
      </c>
      <c r="B189" t="s">
        <v>18</v>
      </c>
      <c r="C189">
        <v>113</v>
      </c>
      <c r="D189" t="s">
        <v>13</v>
      </c>
      <c r="E189">
        <v>25</v>
      </c>
      <c r="F189">
        <v>0.25</v>
      </c>
      <c r="G189">
        <v>64</v>
      </c>
      <c r="H189">
        <v>115</v>
      </c>
      <c r="I189">
        <v>55</v>
      </c>
      <c r="J189">
        <v>4</v>
      </c>
      <c r="K189" t="s">
        <v>16</v>
      </c>
      <c r="L189" t="s">
        <v>19</v>
      </c>
      <c r="M189">
        <v>3</v>
      </c>
      <c r="N189">
        <f t="shared" si="12"/>
        <v>1800</v>
      </c>
      <c r="O189">
        <f t="shared" si="13"/>
        <v>1764</v>
      </c>
      <c r="P189" s="1">
        <f t="shared" si="14"/>
        <v>32.072727272727271</v>
      </c>
      <c r="Q189" s="1">
        <f t="shared" si="15"/>
        <v>0.32541663903434276</v>
      </c>
      <c r="R189" s="1">
        <f t="shared" si="16"/>
        <v>64.058265393910375</v>
      </c>
      <c r="S189" s="1">
        <f t="shared" si="17"/>
        <v>5.8265393910374996E-2</v>
      </c>
    </row>
    <row r="190" spans="1:19" x14ac:dyDescent="0.35">
      <c r="A190">
        <v>189</v>
      </c>
      <c r="B190" t="s">
        <v>18</v>
      </c>
      <c r="C190">
        <v>113</v>
      </c>
      <c r="D190" t="s">
        <v>13</v>
      </c>
      <c r="E190">
        <v>25</v>
      </c>
      <c r="F190">
        <v>0.25</v>
      </c>
      <c r="G190">
        <v>47</v>
      </c>
      <c r="H190">
        <v>148</v>
      </c>
      <c r="I190">
        <v>41</v>
      </c>
      <c r="J190">
        <v>4</v>
      </c>
      <c r="K190" t="s">
        <v>17</v>
      </c>
      <c r="L190" t="s">
        <v>19</v>
      </c>
      <c r="M190">
        <v>3</v>
      </c>
      <c r="N190">
        <f t="shared" si="12"/>
        <v>1800</v>
      </c>
      <c r="O190">
        <f t="shared" si="13"/>
        <v>1764</v>
      </c>
      <c r="P190" s="1">
        <f t="shared" si="14"/>
        <v>43.024390243902438</v>
      </c>
      <c r="Q190" s="1">
        <f t="shared" si="15"/>
        <v>0.24258331273469183</v>
      </c>
      <c r="R190" s="1">
        <f t="shared" si="16"/>
        <v>47.752525111824085</v>
      </c>
      <c r="S190" s="1">
        <f t="shared" si="17"/>
        <v>0.75252511182408455</v>
      </c>
    </row>
    <row r="191" spans="1:19" x14ac:dyDescent="0.35">
      <c r="A191">
        <v>190</v>
      </c>
      <c r="B191" t="s">
        <v>18</v>
      </c>
      <c r="C191">
        <v>113</v>
      </c>
      <c r="D191" t="s">
        <v>13</v>
      </c>
      <c r="E191">
        <v>25</v>
      </c>
      <c r="F191">
        <v>0.25</v>
      </c>
      <c r="G191">
        <v>43</v>
      </c>
      <c r="H191">
        <v>165</v>
      </c>
      <c r="I191">
        <v>37</v>
      </c>
      <c r="J191">
        <v>4</v>
      </c>
      <c r="K191" t="s">
        <v>17</v>
      </c>
      <c r="L191" t="s">
        <v>19</v>
      </c>
      <c r="M191">
        <v>3</v>
      </c>
      <c r="N191">
        <f t="shared" si="12"/>
        <v>1800</v>
      </c>
      <c r="O191">
        <f t="shared" si="13"/>
        <v>1764</v>
      </c>
      <c r="P191" s="1">
        <f t="shared" si="14"/>
        <v>47.675675675675677</v>
      </c>
      <c r="Q191" s="1">
        <f t="shared" si="15"/>
        <v>0.21891664807764877</v>
      </c>
      <c r="R191" s="1">
        <f t="shared" si="16"/>
        <v>43.093742174085158</v>
      </c>
      <c r="S191" s="1">
        <f t="shared" si="17"/>
        <v>9.3742174085157615E-2</v>
      </c>
    </row>
    <row r="192" spans="1:19" x14ac:dyDescent="0.35">
      <c r="A192">
        <v>191</v>
      </c>
      <c r="B192" t="s">
        <v>18</v>
      </c>
      <c r="C192">
        <v>113</v>
      </c>
      <c r="D192" t="s">
        <v>13</v>
      </c>
      <c r="E192">
        <v>25</v>
      </c>
      <c r="F192">
        <v>0.25</v>
      </c>
      <c r="G192">
        <v>38</v>
      </c>
      <c r="H192">
        <v>185</v>
      </c>
      <c r="I192">
        <v>32</v>
      </c>
      <c r="J192">
        <v>4</v>
      </c>
      <c r="K192" t="s">
        <v>17</v>
      </c>
      <c r="L192" t="s">
        <v>19</v>
      </c>
      <c r="M192">
        <v>3</v>
      </c>
      <c r="N192">
        <f t="shared" si="12"/>
        <v>1800</v>
      </c>
      <c r="O192">
        <f t="shared" si="13"/>
        <v>1764</v>
      </c>
      <c r="P192" s="1">
        <f t="shared" si="14"/>
        <v>55.125</v>
      </c>
      <c r="Q192" s="1">
        <f t="shared" si="15"/>
        <v>0.18933331725634486</v>
      </c>
      <c r="R192" s="1">
        <f t="shared" si="16"/>
        <v>37.270263501911487</v>
      </c>
      <c r="S192" s="1">
        <f t="shared" si="17"/>
        <v>-0.72973649808851349</v>
      </c>
    </row>
    <row r="193" spans="1:19" x14ac:dyDescent="0.35">
      <c r="A193">
        <v>192</v>
      </c>
      <c r="B193" t="s">
        <v>18</v>
      </c>
      <c r="C193">
        <v>113</v>
      </c>
      <c r="D193" t="s">
        <v>13</v>
      </c>
      <c r="E193">
        <v>25</v>
      </c>
      <c r="F193">
        <v>0.25</v>
      </c>
      <c r="G193">
        <v>31</v>
      </c>
      <c r="H193">
        <v>215</v>
      </c>
      <c r="I193">
        <v>26</v>
      </c>
      <c r="J193">
        <v>4</v>
      </c>
      <c r="K193" t="s">
        <v>17</v>
      </c>
      <c r="L193" t="s">
        <v>19</v>
      </c>
      <c r="M193">
        <v>3</v>
      </c>
      <c r="N193">
        <f t="shared" si="12"/>
        <v>1800</v>
      </c>
      <c r="O193">
        <f t="shared" si="13"/>
        <v>1764</v>
      </c>
      <c r="P193" s="1">
        <f t="shared" si="14"/>
        <v>67.84615384615384</v>
      </c>
      <c r="Q193" s="1">
        <f t="shared" si="15"/>
        <v>0.15383332027078023</v>
      </c>
      <c r="R193" s="1">
        <f t="shared" si="16"/>
        <v>30.282089095303085</v>
      </c>
      <c r="S193" s="1">
        <f t="shared" si="17"/>
        <v>-0.71791090469691454</v>
      </c>
    </row>
    <row r="194" spans="1:19" x14ac:dyDescent="0.35">
      <c r="A194">
        <v>193</v>
      </c>
      <c r="B194" t="s">
        <v>18</v>
      </c>
      <c r="C194">
        <v>113</v>
      </c>
      <c r="D194" t="s">
        <v>13</v>
      </c>
      <c r="E194">
        <v>25</v>
      </c>
      <c r="F194">
        <v>0.25</v>
      </c>
      <c r="G194">
        <v>26</v>
      </c>
      <c r="H194">
        <v>215</v>
      </c>
      <c r="I194">
        <v>22</v>
      </c>
      <c r="J194">
        <v>4</v>
      </c>
      <c r="K194" t="s">
        <v>17</v>
      </c>
      <c r="L194" t="s">
        <v>19</v>
      </c>
      <c r="M194">
        <v>3</v>
      </c>
      <c r="N194">
        <f t="shared" si="12"/>
        <v>1800</v>
      </c>
      <c r="O194">
        <f t="shared" si="13"/>
        <v>1764</v>
      </c>
      <c r="P194" s="1">
        <f t="shared" si="14"/>
        <v>80.181818181818187</v>
      </c>
      <c r="Q194" s="1">
        <f t="shared" si="15"/>
        <v>0.13016665561373708</v>
      </c>
      <c r="R194" s="1">
        <f t="shared" si="16"/>
        <v>25.623306157564144</v>
      </c>
      <c r="S194" s="1">
        <f t="shared" si="17"/>
        <v>-0.37669384243585569</v>
      </c>
    </row>
    <row r="195" spans="1:19" x14ac:dyDescent="0.35">
      <c r="A195">
        <v>194</v>
      </c>
      <c r="B195" t="s">
        <v>18</v>
      </c>
      <c r="C195">
        <v>113</v>
      </c>
      <c r="D195" t="s">
        <v>13</v>
      </c>
      <c r="E195">
        <v>25</v>
      </c>
      <c r="F195">
        <v>0.25</v>
      </c>
      <c r="G195">
        <v>213</v>
      </c>
      <c r="H195">
        <v>36</v>
      </c>
      <c r="I195">
        <v>183</v>
      </c>
      <c r="J195">
        <v>6</v>
      </c>
      <c r="K195" t="s">
        <v>14</v>
      </c>
      <c r="L195" t="s">
        <v>19</v>
      </c>
      <c r="M195">
        <v>3</v>
      </c>
      <c r="N195">
        <f t="shared" ref="N195:N258" si="18">60*60*2/J195</f>
        <v>1200</v>
      </c>
      <c r="O195">
        <f t="shared" ref="O195:O258" si="19">N195*(1-0.02)</f>
        <v>1176</v>
      </c>
      <c r="P195" s="1">
        <f t="shared" ref="P195:P258" si="20">O195/I195</f>
        <v>6.4262295081967213</v>
      </c>
      <c r="Q195" s="1">
        <f t="shared" ref="Q195:Q258" si="21">(I195*2*PI()/60)*(C195/2000)</f>
        <v>1.082749908059722</v>
      </c>
      <c r="R195" s="1">
        <f t="shared" ref="R195:R258" si="22">Q195*196.85</f>
        <v>213.13931940155626</v>
      </c>
      <c r="S195" s="1">
        <f t="shared" ref="S195:S258" si="23">R195-G195</f>
        <v>0.13931940155626421</v>
      </c>
    </row>
    <row r="196" spans="1:19" x14ac:dyDescent="0.35">
      <c r="A196">
        <v>195</v>
      </c>
      <c r="B196" t="s">
        <v>18</v>
      </c>
      <c r="C196">
        <v>113</v>
      </c>
      <c r="D196" t="s">
        <v>13</v>
      </c>
      <c r="E196">
        <v>25</v>
      </c>
      <c r="F196">
        <v>0.25</v>
      </c>
      <c r="G196">
        <v>189</v>
      </c>
      <c r="H196">
        <v>40</v>
      </c>
      <c r="I196">
        <v>162</v>
      </c>
      <c r="J196">
        <v>6</v>
      </c>
      <c r="K196" t="s">
        <v>14</v>
      </c>
      <c r="L196" t="s">
        <v>19</v>
      </c>
      <c r="M196">
        <v>3</v>
      </c>
      <c r="N196">
        <f t="shared" si="18"/>
        <v>1200</v>
      </c>
      <c r="O196">
        <f t="shared" si="19"/>
        <v>1176</v>
      </c>
      <c r="P196" s="1">
        <f t="shared" si="20"/>
        <v>7.2592592592592595</v>
      </c>
      <c r="Q196" s="1">
        <f t="shared" si="21"/>
        <v>0.95849991861024586</v>
      </c>
      <c r="R196" s="1">
        <f t="shared" si="22"/>
        <v>188.68070897842688</v>
      </c>
      <c r="S196" s="1">
        <f t="shared" si="23"/>
        <v>-0.31929102157312172</v>
      </c>
    </row>
    <row r="197" spans="1:19" x14ac:dyDescent="0.35">
      <c r="A197">
        <v>196</v>
      </c>
      <c r="B197" t="s">
        <v>18</v>
      </c>
      <c r="C197">
        <v>113</v>
      </c>
      <c r="D197" t="s">
        <v>13</v>
      </c>
      <c r="E197">
        <v>25</v>
      </c>
      <c r="F197">
        <v>0.25</v>
      </c>
      <c r="G197">
        <v>165</v>
      </c>
      <c r="H197">
        <v>46</v>
      </c>
      <c r="I197">
        <v>142</v>
      </c>
      <c r="J197">
        <v>6</v>
      </c>
      <c r="K197" t="s">
        <v>14</v>
      </c>
      <c r="L197" t="s">
        <v>19</v>
      </c>
      <c r="M197">
        <v>3</v>
      </c>
      <c r="N197">
        <f t="shared" si="18"/>
        <v>1200</v>
      </c>
      <c r="O197">
        <f t="shared" si="19"/>
        <v>1176</v>
      </c>
      <c r="P197" s="1">
        <f t="shared" si="20"/>
        <v>8.28169014084507</v>
      </c>
      <c r="Q197" s="1">
        <f t="shared" si="21"/>
        <v>0.84016659532503035</v>
      </c>
      <c r="R197" s="1">
        <f t="shared" si="22"/>
        <v>165.38679428973222</v>
      </c>
      <c r="S197" s="1">
        <f t="shared" si="23"/>
        <v>0.3867942897322223</v>
      </c>
    </row>
    <row r="198" spans="1:19" x14ac:dyDescent="0.35">
      <c r="A198">
        <v>197</v>
      </c>
      <c r="B198" t="s">
        <v>18</v>
      </c>
      <c r="C198">
        <v>113</v>
      </c>
      <c r="D198" t="s">
        <v>13</v>
      </c>
      <c r="E198">
        <v>25</v>
      </c>
      <c r="F198">
        <v>0.25</v>
      </c>
      <c r="G198">
        <v>142</v>
      </c>
      <c r="H198">
        <v>53</v>
      </c>
      <c r="I198">
        <v>122</v>
      </c>
      <c r="J198">
        <v>6</v>
      </c>
      <c r="K198" t="s">
        <v>14</v>
      </c>
      <c r="L198" t="s">
        <v>19</v>
      </c>
      <c r="M198">
        <v>3</v>
      </c>
      <c r="N198">
        <f t="shared" si="18"/>
        <v>1200</v>
      </c>
      <c r="O198">
        <f t="shared" si="19"/>
        <v>1176</v>
      </c>
      <c r="P198" s="1">
        <f t="shared" si="20"/>
        <v>9.6393442622950811</v>
      </c>
      <c r="Q198" s="1">
        <f t="shared" si="21"/>
        <v>0.72183327203981473</v>
      </c>
      <c r="R198" s="1">
        <f t="shared" si="22"/>
        <v>142.09287960103754</v>
      </c>
      <c r="S198" s="1">
        <f t="shared" si="23"/>
        <v>9.2879601037537896E-2</v>
      </c>
    </row>
    <row r="199" spans="1:19" x14ac:dyDescent="0.35">
      <c r="A199">
        <v>198</v>
      </c>
      <c r="B199" t="s">
        <v>18</v>
      </c>
      <c r="C199">
        <v>113</v>
      </c>
      <c r="D199" t="s">
        <v>13</v>
      </c>
      <c r="E199">
        <v>25</v>
      </c>
      <c r="F199">
        <v>0.25</v>
      </c>
      <c r="G199">
        <v>59</v>
      </c>
      <c r="H199">
        <v>123</v>
      </c>
      <c r="I199">
        <v>51</v>
      </c>
      <c r="J199">
        <v>6</v>
      </c>
      <c r="K199" t="s">
        <v>16</v>
      </c>
      <c r="L199" t="s">
        <v>19</v>
      </c>
      <c r="M199">
        <v>3</v>
      </c>
      <c r="N199">
        <f t="shared" si="18"/>
        <v>1200</v>
      </c>
      <c r="O199">
        <f t="shared" si="19"/>
        <v>1176</v>
      </c>
      <c r="P199" s="1">
        <f t="shared" si="20"/>
        <v>23.058823529411764</v>
      </c>
      <c r="Q199" s="1">
        <f t="shared" si="21"/>
        <v>0.30174997437729961</v>
      </c>
      <c r="R199" s="1">
        <f t="shared" si="22"/>
        <v>59.399482456171427</v>
      </c>
      <c r="S199" s="1">
        <f t="shared" si="23"/>
        <v>0.39948245617142675</v>
      </c>
    </row>
    <row r="200" spans="1:19" x14ac:dyDescent="0.35">
      <c r="A200">
        <v>199</v>
      </c>
      <c r="B200" t="s">
        <v>18</v>
      </c>
      <c r="C200">
        <v>113</v>
      </c>
      <c r="D200" t="s">
        <v>13</v>
      </c>
      <c r="E200">
        <v>25</v>
      </c>
      <c r="F200">
        <v>0.25</v>
      </c>
      <c r="G200">
        <v>50</v>
      </c>
      <c r="H200">
        <v>148</v>
      </c>
      <c r="I200">
        <v>43</v>
      </c>
      <c r="J200">
        <v>6</v>
      </c>
      <c r="K200" t="s">
        <v>16</v>
      </c>
      <c r="L200" t="s">
        <v>19</v>
      </c>
      <c r="M200">
        <v>3</v>
      </c>
      <c r="N200">
        <f t="shared" si="18"/>
        <v>1200</v>
      </c>
      <c r="O200">
        <f t="shared" si="19"/>
        <v>1176</v>
      </c>
      <c r="P200" s="1">
        <f t="shared" si="20"/>
        <v>27.348837209302324</v>
      </c>
      <c r="Q200" s="1">
        <f t="shared" si="21"/>
        <v>0.25441664506321338</v>
      </c>
      <c r="R200" s="1">
        <f t="shared" si="22"/>
        <v>50.081916580693552</v>
      </c>
      <c r="S200" s="1">
        <f t="shared" si="23"/>
        <v>8.1916580693551566E-2</v>
      </c>
    </row>
    <row r="201" spans="1:19" x14ac:dyDescent="0.35">
      <c r="A201">
        <v>200</v>
      </c>
      <c r="B201" t="s">
        <v>18</v>
      </c>
      <c r="C201">
        <v>113</v>
      </c>
      <c r="D201" t="s">
        <v>13</v>
      </c>
      <c r="E201">
        <v>25</v>
      </c>
      <c r="F201">
        <v>0.25</v>
      </c>
      <c r="G201">
        <v>40</v>
      </c>
      <c r="H201">
        <v>182</v>
      </c>
      <c r="I201">
        <v>34</v>
      </c>
      <c r="J201">
        <v>6</v>
      </c>
      <c r="K201" t="s">
        <v>16</v>
      </c>
      <c r="L201" t="s">
        <v>19</v>
      </c>
      <c r="M201">
        <v>3</v>
      </c>
      <c r="N201">
        <f t="shared" si="18"/>
        <v>1200</v>
      </c>
      <c r="O201">
        <f t="shared" si="19"/>
        <v>1176</v>
      </c>
      <c r="P201" s="1">
        <f t="shared" si="20"/>
        <v>34.588235294117645</v>
      </c>
      <c r="Q201" s="1">
        <f t="shared" si="21"/>
        <v>0.20116664958486644</v>
      </c>
      <c r="R201" s="1">
        <f t="shared" si="22"/>
        <v>39.599654970780954</v>
      </c>
      <c r="S201" s="1">
        <f t="shared" si="23"/>
        <v>-0.40034502921904647</v>
      </c>
    </row>
    <row r="202" spans="1:19" x14ac:dyDescent="0.35">
      <c r="A202">
        <v>201</v>
      </c>
      <c r="B202" t="s">
        <v>18</v>
      </c>
      <c r="C202">
        <v>113</v>
      </c>
      <c r="D202" t="s">
        <v>13</v>
      </c>
      <c r="E202">
        <v>25</v>
      </c>
      <c r="F202">
        <v>0.16</v>
      </c>
      <c r="G202">
        <v>260</v>
      </c>
      <c r="H202">
        <v>20</v>
      </c>
      <c r="I202">
        <v>223</v>
      </c>
      <c r="J202">
        <v>4</v>
      </c>
      <c r="K202" t="s">
        <v>14</v>
      </c>
      <c r="L202" t="s">
        <v>19</v>
      </c>
      <c r="M202">
        <v>3</v>
      </c>
      <c r="N202">
        <f t="shared" si="18"/>
        <v>1800</v>
      </c>
      <c r="O202">
        <f t="shared" si="19"/>
        <v>1764</v>
      </c>
      <c r="P202" s="1">
        <f t="shared" si="20"/>
        <v>7.9103139013452912</v>
      </c>
      <c r="Q202" s="1">
        <f t="shared" si="21"/>
        <v>1.3194165546301533</v>
      </c>
      <c r="R202" s="1">
        <f t="shared" si="22"/>
        <v>259.72714877894566</v>
      </c>
      <c r="S202" s="1">
        <f t="shared" si="23"/>
        <v>-0.27285122105433857</v>
      </c>
    </row>
    <row r="203" spans="1:19" x14ac:dyDescent="0.35">
      <c r="A203">
        <v>202</v>
      </c>
      <c r="B203" t="s">
        <v>18</v>
      </c>
      <c r="C203">
        <v>113</v>
      </c>
      <c r="D203" t="s">
        <v>13</v>
      </c>
      <c r="E203">
        <v>25</v>
      </c>
      <c r="F203">
        <v>0.16</v>
      </c>
      <c r="G203">
        <v>224</v>
      </c>
      <c r="H203">
        <v>22</v>
      </c>
      <c r="I203">
        <v>193</v>
      </c>
      <c r="J203">
        <v>4</v>
      </c>
      <c r="K203" t="s">
        <v>14</v>
      </c>
      <c r="L203" t="s">
        <v>19</v>
      </c>
      <c r="M203">
        <v>3</v>
      </c>
      <c r="N203">
        <f t="shared" si="18"/>
        <v>1800</v>
      </c>
      <c r="O203">
        <f t="shared" si="19"/>
        <v>1764</v>
      </c>
      <c r="P203" s="1">
        <f t="shared" si="20"/>
        <v>9.1398963730569953</v>
      </c>
      <c r="Q203" s="1">
        <f t="shared" si="21"/>
        <v>1.1419165697023301</v>
      </c>
      <c r="R203" s="1">
        <f t="shared" si="22"/>
        <v>224.78627674590368</v>
      </c>
      <c r="S203" s="1">
        <f t="shared" si="23"/>
        <v>0.78627674590367747</v>
      </c>
    </row>
    <row r="204" spans="1:19" x14ac:dyDescent="0.35">
      <c r="A204">
        <v>203</v>
      </c>
      <c r="B204" t="s">
        <v>18</v>
      </c>
      <c r="C204">
        <v>113</v>
      </c>
      <c r="D204" t="s">
        <v>13</v>
      </c>
      <c r="E204">
        <v>25</v>
      </c>
      <c r="F204">
        <v>0.16</v>
      </c>
      <c r="G204">
        <v>201</v>
      </c>
      <c r="H204">
        <v>24</v>
      </c>
      <c r="I204">
        <v>172</v>
      </c>
      <c r="J204">
        <v>4</v>
      </c>
      <c r="K204" t="s">
        <v>16</v>
      </c>
      <c r="L204" t="s">
        <v>19</v>
      </c>
      <c r="M204">
        <v>3</v>
      </c>
      <c r="N204">
        <f t="shared" si="18"/>
        <v>1800</v>
      </c>
      <c r="O204">
        <f t="shared" si="19"/>
        <v>1764</v>
      </c>
      <c r="P204" s="1">
        <f t="shared" si="20"/>
        <v>10.255813953488373</v>
      </c>
      <c r="Q204" s="1">
        <f t="shared" si="21"/>
        <v>1.0176665802528535</v>
      </c>
      <c r="R204" s="1">
        <f t="shared" si="22"/>
        <v>200.32766632277421</v>
      </c>
      <c r="S204" s="1">
        <f t="shared" si="23"/>
        <v>-0.67233367722579374</v>
      </c>
    </row>
    <row r="205" spans="1:19" x14ac:dyDescent="0.35">
      <c r="A205">
        <v>204</v>
      </c>
      <c r="B205" t="s">
        <v>18</v>
      </c>
      <c r="C205">
        <v>113</v>
      </c>
      <c r="D205" t="s">
        <v>13</v>
      </c>
      <c r="E205">
        <v>25</v>
      </c>
      <c r="F205">
        <v>0.16</v>
      </c>
      <c r="G205">
        <v>177</v>
      </c>
      <c r="H205">
        <v>27</v>
      </c>
      <c r="I205">
        <v>152</v>
      </c>
      <c r="J205">
        <v>4</v>
      </c>
      <c r="K205" t="s">
        <v>16</v>
      </c>
      <c r="L205" t="s">
        <v>19</v>
      </c>
      <c r="M205">
        <v>3</v>
      </c>
      <c r="N205">
        <f t="shared" si="18"/>
        <v>1800</v>
      </c>
      <c r="O205">
        <f t="shared" si="19"/>
        <v>1764</v>
      </c>
      <c r="P205" s="1">
        <f t="shared" si="20"/>
        <v>11.605263157894736</v>
      </c>
      <c r="Q205" s="1">
        <f t="shared" si="21"/>
        <v>0.89933325696763811</v>
      </c>
      <c r="R205" s="1">
        <f t="shared" si="22"/>
        <v>177.03375163407955</v>
      </c>
      <c r="S205" s="1">
        <f t="shared" si="23"/>
        <v>3.3751634079550286E-2</v>
      </c>
    </row>
    <row r="206" spans="1:19" x14ac:dyDescent="0.35">
      <c r="A206">
        <v>205</v>
      </c>
      <c r="B206" t="s">
        <v>18</v>
      </c>
      <c r="C206">
        <v>113</v>
      </c>
      <c r="D206" t="s">
        <v>13</v>
      </c>
      <c r="E206">
        <v>25</v>
      </c>
      <c r="F206">
        <v>0.16</v>
      </c>
      <c r="G206">
        <v>165</v>
      </c>
      <c r="H206">
        <v>30</v>
      </c>
      <c r="I206">
        <v>142</v>
      </c>
      <c r="J206">
        <v>4</v>
      </c>
      <c r="K206" t="s">
        <v>16</v>
      </c>
      <c r="L206" t="s">
        <v>19</v>
      </c>
      <c r="M206">
        <v>3</v>
      </c>
      <c r="N206">
        <f t="shared" si="18"/>
        <v>1800</v>
      </c>
      <c r="O206">
        <f t="shared" si="19"/>
        <v>1764</v>
      </c>
      <c r="P206" s="1">
        <f t="shared" si="20"/>
        <v>12.422535211267606</v>
      </c>
      <c r="Q206" s="1">
        <f t="shared" si="21"/>
        <v>0.84016659532503035</v>
      </c>
      <c r="R206" s="1">
        <f t="shared" si="22"/>
        <v>165.38679428973222</v>
      </c>
      <c r="S206" s="1">
        <f t="shared" si="23"/>
        <v>0.3867942897322223</v>
      </c>
    </row>
    <row r="207" spans="1:19" x14ac:dyDescent="0.35">
      <c r="A207">
        <v>206</v>
      </c>
      <c r="B207" t="s">
        <v>18</v>
      </c>
      <c r="C207">
        <v>113</v>
      </c>
      <c r="D207" t="s">
        <v>13</v>
      </c>
      <c r="E207">
        <v>25</v>
      </c>
      <c r="F207">
        <v>0.16</v>
      </c>
      <c r="G207">
        <v>154</v>
      </c>
      <c r="H207">
        <v>32</v>
      </c>
      <c r="I207">
        <v>132</v>
      </c>
      <c r="J207">
        <v>4</v>
      </c>
      <c r="K207" t="s">
        <v>16</v>
      </c>
      <c r="L207" t="s">
        <v>19</v>
      </c>
      <c r="M207">
        <v>3</v>
      </c>
      <c r="N207">
        <f t="shared" si="18"/>
        <v>1800</v>
      </c>
      <c r="O207">
        <f t="shared" si="19"/>
        <v>1764</v>
      </c>
      <c r="P207" s="1">
        <f t="shared" si="20"/>
        <v>13.363636363636363</v>
      </c>
      <c r="Q207" s="1">
        <f t="shared" si="21"/>
        <v>0.7809999336824226</v>
      </c>
      <c r="R207" s="1">
        <f t="shared" si="22"/>
        <v>153.73983694538489</v>
      </c>
      <c r="S207" s="1">
        <f t="shared" si="23"/>
        <v>-0.26016305461510569</v>
      </c>
    </row>
    <row r="208" spans="1:19" x14ac:dyDescent="0.35">
      <c r="A208">
        <v>207</v>
      </c>
      <c r="B208" t="s">
        <v>18</v>
      </c>
      <c r="C208">
        <v>113</v>
      </c>
      <c r="D208" t="s">
        <v>13</v>
      </c>
      <c r="E208">
        <v>25</v>
      </c>
      <c r="F208">
        <v>0.16</v>
      </c>
      <c r="G208">
        <v>130</v>
      </c>
      <c r="H208">
        <v>37</v>
      </c>
      <c r="I208">
        <v>112</v>
      </c>
      <c r="J208">
        <v>4</v>
      </c>
      <c r="K208" t="s">
        <v>16</v>
      </c>
      <c r="L208" t="s">
        <v>19</v>
      </c>
      <c r="M208">
        <v>3</v>
      </c>
      <c r="N208">
        <f t="shared" si="18"/>
        <v>1800</v>
      </c>
      <c r="O208">
        <f t="shared" si="19"/>
        <v>1764</v>
      </c>
      <c r="P208" s="1">
        <f t="shared" si="20"/>
        <v>15.75</v>
      </c>
      <c r="Q208" s="1">
        <f t="shared" si="21"/>
        <v>0.66266661039720709</v>
      </c>
      <c r="R208" s="1">
        <f t="shared" si="22"/>
        <v>130.44592225669021</v>
      </c>
      <c r="S208" s="1">
        <f t="shared" si="23"/>
        <v>0.44592225669020991</v>
      </c>
    </row>
    <row r="209" spans="1:19" x14ac:dyDescent="0.35">
      <c r="A209">
        <v>208</v>
      </c>
      <c r="B209" t="s">
        <v>18</v>
      </c>
      <c r="C209">
        <v>113</v>
      </c>
      <c r="D209" t="s">
        <v>13</v>
      </c>
      <c r="E209">
        <v>25</v>
      </c>
      <c r="F209">
        <v>0.16</v>
      </c>
      <c r="G209">
        <v>118</v>
      </c>
      <c r="H209">
        <v>41</v>
      </c>
      <c r="I209">
        <v>101</v>
      </c>
      <c r="J209">
        <v>4</v>
      </c>
      <c r="K209" t="s">
        <v>16</v>
      </c>
      <c r="L209" t="s">
        <v>19</v>
      </c>
      <c r="M209">
        <v>3</v>
      </c>
      <c r="N209">
        <f t="shared" si="18"/>
        <v>1800</v>
      </c>
      <c r="O209">
        <f t="shared" si="19"/>
        <v>1764</v>
      </c>
      <c r="P209" s="1">
        <f t="shared" si="20"/>
        <v>17.465346534653467</v>
      </c>
      <c r="Q209" s="1">
        <f t="shared" si="21"/>
        <v>0.59758328259033844</v>
      </c>
      <c r="R209" s="1">
        <f t="shared" si="22"/>
        <v>117.63426917790812</v>
      </c>
      <c r="S209" s="1">
        <f t="shared" si="23"/>
        <v>-0.36573082209187646</v>
      </c>
    </row>
    <row r="210" spans="1:19" x14ac:dyDescent="0.35">
      <c r="A210">
        <v>209</v>
      </c>
      <c r="B210" t="s">
        <v>18</v>
      </c>
      <c r="C210">
        <v>113</v>
      </c>
      <c r="D210" t="s">
        <v>13</v>
      </c>
      <c r="E210">
        <v>25</v>
      </c>
      <c r="F210">
        <v>0.16</v>
      </c>
      <c r="G210">
        <v>106</v>
      </c>
      <c r="H210">
        <v>46</v>
      </c>
      <c r="I210">
        <v>91</v>
      </c>
      <c r="J210">
        <v>4</v>
      </c>
      <c r="K210" t="s">
        <v>16</v>
      </c>
      <c r="L210" t="s">
        <v>19</v>
      </c>
      <c r="M210">
        <v>3</v>
      </c>
      <c r="N210">
        <f t="shared" si="18"/>
        <v>1800</v>
      </c>
      <c r="O210">
        <f t="shared" si="19"/>
        <v>1764</v>
      </c>
      <c r="P210" s="1">
        <f t="shared" si="20"/>
        <v>19.384615384615383</v>
      </c>
      <c r="Q210" s="1">
        <f t="shared" si="21"/>
        <v>0.5384166209477308</v>
      </c>
      <c r="R210" s="1">
        <f t="shared" si="22"/>
        <v>105.98731183356081</v>
      </c>
      <c r="S210" s="1">
        <f t="shared" si="23"/>
        <v>-1.268816643919024E-2</v>
      </c>
    </row>
    <row r="211" spans="1:19" x14ac:dyDescent="0.35">
      <c r="A211">
        <v>210</v>
      </c>
      <c r="B211" t="s">
        <v>18</v>
      </c>
      <c r="C211">
        <v>113</v>
      </c>
      <c r="D211" t="s">
        <v>13</v>
      </c>
      <c r="E211">
        <v>25</v>
      </c>
      <c r="F211">
        <v>0.16</v>
      </c>
      <c r="G211">
        <v>94</v>
      </c>
      <c r="H211">
        <v>51</v>
      </c>
      <c r="I211">
        <v>81</v>
      </c>
      <c r="J211">
        <v>4</v>
      </c>
      <c r="K211" t="s">
        <v>16</v>
      </c>
      <c r="L211" t="s">
        <v>19</v>
      </c>
      <c r="M211">
        <v>3</v>
      </c>
      <c r="N211">
        <f t="shared" si="18"/>
        <v>1800</v>
      </c>
      <c r="O211">
        <f t="shared" si="19"/>
        <v>1764</v>
      </c>
      <c r="P211" s="1">
        <f t="shared" si="20"/>
        <v>21.777777777777779</v>
      </c>
      <c r="Q211" s="1">
        <f t="shared" si="21"/>
        <v>0.47924995930512293</v>
      </c>
      <c r="R211" s="1">
        <f t="shared" si="22"/>
        <v>94.340354489213439</v>
      </c>
      <c r="S211" s="1">
        <f t="shared" si="23"/>
        <v>0.34035448921343914</v>
      </c>
    </row>
    <row r="212" spans="1:19" x14ac:dyDescent="0.35">
      <c r="A212">
        <v>211</v>
      </c>
      <c r="B212" t="s">
        <v>18</v>
      </c>
      <c r="C212">
        <v>113</v>
      </c>
      <c r="D212" t="s">
        <v>13</v>
      </c>
      <c r="E212">
        <v>25</v>
      </c>
      <c r="F212">
        <v>0.16</v>
      </c>
      <c r="G212">
        <v>80</v>
      </c>
      <c r="H212">
        <v>61</v>
      </c>
      <c r="I212">
        <v>69</v>
      </c>
      <c r="J212">
        <v>4</v>
      </c>
      <c r="K212" t="s">
        <v>16</v>
      </c>
      <c r="L212" t="s">
        <v>19</v>
      </c>
      <c r="M212">
        <v>3</v>
      </c>
      <c r="N212">
        <f t="shared" si="18"/>
        <v>1800</v>
      </c>
      <c r="O212">
        <f t="shared" si="19"/>
        <v>1764</v>
      </c>
      <c r="P212" s="1">
        <f t="shared" si="20"/>
        <v>25.565217391304348</v>
      </c>
      <c r="Q212" s="1">
        <f t="shared" si="21"/>
        <v>0.4082499653339936</v>
      </c>
      <c r="R212" s="1">
        <f t="shared" si="22"/>
        <v>80.364005675996637</v>
      </c>
      <c r="S212" s="1">
        <f t="shared" si="23"/>
        <v>0.36400567599663702</v>
      </c>
    </row>
    <row r="213" spans="1:19" x14ac:dyDescent="0.35">
      <c r="A213">
        <v>212</v>
      </c>
      <c r="B213" t="s">
        <v>18</v>
      </c>
      <c r="C213">
        <v>113</v>
      </c>
      <c r="D213" t="s">
        <v>13</v>
      </c>
      <c r="E213">
        <v>25</v>
      </c>
      <c r="F213">
        <v>0.16</v>
      </c>
      <c r="G213">
        <v>64</v>
      </c>
      <c r="H213">
        <v>77</v>
      </c>
      <c r="I213">
        <v>55</v>
      </c>
      <c r="J213">
        <v>4</v>
      </c>
      <c r="K213" t="s">
        <v>16</v>
      </c>
      <c r="L213" t="s">
        <v>19</v>
      </c>
      <c r="M213">
        <v>3</v>
      </c>
      <c r="N213">
        <f t="shared" si="18"/>
        <v>1800</v>
      </c>
      <c r="O213">
        <f t="shared" si="19"/>
        <v>1764</v>
      </c>
      <c r="P213" s="1">
        <f t="shared" si="20"/>
        <v>32.072727272727271</v>
      </c>
      <c r="Q213" s="1">
        <f t="shared" si="21"/>
        <v>0.32541663903434276</v>
      </c>
      <c r="R213" s="1">
        <f t="shared" si="22"/>
        <v>64.058265393910375</v>
      </c>
      <c r="S213" s="1">
        <f t="shared" si="23"/>
        <v>5.8265393910374996E-2</v>
      </c>
    </row>
    <row r="214" spans="1:19" x14ac:dyDescent="0.35">
      <c r="A214">
        <v>213</v>
      </c>
      <c r="B214" t="s">
        <v>18</v>
      </c>
      <c r="C214">
        <v>113</v>
      </c>
      <c r="D214" t="s">
        <v>13</v>
      </c>
      <c r="E214">
        <v>25</v>
      </c>
      <c r="F214">
        <v>0.16</v>
      </c>
      <c r="G214">
        <v>43</v>
      </c>
      <c r="H214">
        <v>109</v>
      </c>
      <c r="I214">
        <v>37</v>
      </c>
      <c r="J214">
        <v>4</v>
      </c>
      <c r="K214" t="s">
        <v>17</v>
      </c>
      <c r="L214" t="s">
        <v>19</v>
      </c>
      <c r="M214">
        <v>3</v>
      </c>
      <c r="N214">
        <f t="shared" si="18"/>
        <v>1800</v>
      </c>
      <c r="O214">
        <f t="shared" si="19"/>
        <v>1764</v>
      </c>
      <c r="P214" s="1">
        <f t="shared" si="20"/>
        <v>47.675675675675677</v>
      </c>
      <c r="Q214" s="1">
        <f t="shared" si="21"/>
        <v>0.21891664807764877</v>
      </c>
      <c r="R214" s="1">
        <f t="shared" si="22"/>
        <v>43.093742174085158</v>
      </c>
      <c r="S214" s="1">
        <f t="shared" si="23"/>
        <v>9.3742174085157615E-2</v>
      </c>
    </row>
    <row r="215" spans="1:19" x14ac:dyDescent="0.35">
      <c r="A215">
        <v>214</v>
      </c>
      <c r="B215" t="s">
        <v>18</v>
      </c>
      <c r="C215">
        <v>113</v>
      </c>
      <c r="D215" t="s">
        <v>13</v>
      </c>
      <c r="E215">
        <v>25</v>
      </c>
      <c r="F215">
        <v>0.16</v>
      </c>
      <c r="G215">
        <v>26</v>
      </c>
      <c r="H215">
        <v>180</v>
      </c>
      <c r="I215">
        <v>22</v>
      </c>
      <c r="J215">
        <v>4</v>
      </c>
      <c r="K215" t="s">
        <v>17</v>
      </c>
      <c r="L215" t="s">
        <v>19</v>
      </c>
      <c r="M215">
        <v>3</v>
      </c>
      <c r="N215">
        <f t="shared" si="18"/>
        <v>1800</v>
      </c>
      <c r="O215">
        <f t="shared" si="19"/>
        <v>1764</v>
      </c>
      <c r="P215" s="1">
        <f t="shared" si="20"/>
        <v>80.181818181818187</v>
      </c>
      <c r="Q215" s="1">
        <f t="shared" si="21"/>
        <v>0.13016665561373708</v>
      </c>
      <c r="R215" s="1">
        <f t="shared" si="22"/>
        <v>25.623306157564144</v>
      </c>
      <c r="S215" s="1">
        <f t="shared" si="23"/>
        <v>-0.37669384243585569</v>
      </c>
    </row>
    <row r="216" spans="1:19" x14ac:dyDescent="0.35">
      <c r="A216">
        <v>215</v>
      </c>
      <c r="B216" t="s">
        <v>18</v>
      </c>
      <c r="C216">
        <v>113</v>
      </c>
      <c r="D216" t="s">
        <v>13</v>
      </c>
      <c r="E216">
        <v>25</v>
      </c>
      <c r="F216">
        <v>0.16</v>
      </c>
      <c r="G216">
        <v>17</v>
      </c>
      <c r="H216">
        <v>215</v>
      </c>
      <c r="I216">
        <v>14</v>
      </c>
      <c r="J216">
        <v>4</v>
      </c>
      <c r="K216" t="s">
        <v>17</v>
      </c>
      <c r="L216" t="s">
        <v>19</v>
      </c>
      <c r="M216">
        <v>3</v>
      </c>
      <c r="N216">
        <f t="shared" si="18"/>
        <v>1800</v>
      </c>
      <c r="O216">
        <f t="shared" si="19"/>
        <v>1764</v>
      </c>
      <c r="P216" s="1">
        <f t="shared" si="20"/>
        <v>126</v>
      </c>
      <c r="Q216" s="1">
        <f t="shared" si="21"/>
        <v>8.2833326299650886E-2</v>
      </c>
      <c r="R216" s="1">
        <f t="shared" si="22"/>
        <v>16.305740282086276</v>
      </c>
      <c r="S216" s="1">
        <f t="shared" si="23"/>
        <v>-0.69425971791372376</v>
      </c>
    </row>
    <row r="217" spans="1:19" x14ac:dyDescent="0.35">
      <c r="A217">
        <v>216</v>
      </c>
      <c r="B217" t="s">
        <v>20</v>
      </c>
      <c r="C217">
        <v>127</v>
      </c>
      <c r="D217" t="s">
        <v>13</v>
      </c>
      <c r="E217">
        <v>30</v>
      </c>
      <c r="F217">
        <v>1.5</v>
      </c>
      <c r="G217">
        <v>316</v>
      </c>
      <c r="H217">
        <v>156</v>
      </c>
      <c r="I217">
        <v>243</v>
      </c>
      <c r="J217">
        <v>4</v>
      </c>
      <c r="K217" t="s">
        <v>14</v>
      </c>
      <c r="L217" t="s">
        <v>21</v>
      </c>
      <c r="M217">
        <v>3</v>
      </c>
      <c r="N217">
        <f t="shared" si="18"/>
        <v>1800</v>
      </c>
      <c r="O217">
        <f t="shared" si="19"/>
        <v>1764</v>
      </c>
      <c r="P217" s="1">
        <f t="shared" si="20"/>
        <v>7.2592592592592595</v>
      </c>
      <c r="Q217" s="1">
        <f t="shared" si="21"/>
        <v>1.6158781813739103</v>
      </c>
      <c r="R217" s="1">
        <f t="shared" si="22"/>
        <v>318.08562000345421</v>
      </c>
      <c r="S217" s="1">
        <f t="shared" si="23"/>
        <v>2.0856200034542098</v>
      </c>
    </row>
    <row r="218" spans="1:19" x14ac:dyDescent="0.35">
      <c r="A218">
        <v>217</v>
      </c>
      <c r="B218" t="s">
        <v>20</v>
      </c>
      <c r="C218">
        <v>127</v>
      </c>
      <c r="D218" t="s">
        <v>13</v>
      </c>
      <c r="E218">
        <v>30</v>
      </c>
      <c r="F218">
        <v>1.5</v>
      </c>
      <c r="G218">
        <v>237</v>
      </c>
      <c r="H218">
        <v>207</v>
      </c>
      <c r="I218">
        <v>182</v>
      </c>
      <c r="J218">
        <v>4</v>
      </c>
      <c r="K218" t="s">
        <v>14</v>
      </c>
      <c r="L218" t="s">
        <v>21</v>
      </c>
      <c r="M218">
        <v>3</v>
      </c>
      <c r="N218">
        <f t="shared" si="18"/>
        <v>1800</v>
      </c>
      <c r="O218">
        <f t="shared" si="19"/>
        <v>1764</v>
      </c>
      <c r="P218" s="1">
        <f t="shared" si="20"/>
        <v>9.6923076923076916</v>
      </c>
      <c r="Q218" s="1">
        <f t="shared" si="21"/>
        <v>1.2102462099179081</v>
      </c>
      <c r="R218" s="1">
        <f t="shared" si="22"/>
        <v>238.2369664223402</v>
      </c>
      <c r="S218" s="1">
        <f t="shared" si="23"/>
        <v>1.2369664223402026</v>
      </c>
    </row>
    <row r="219" spans="1:19" x14ac:dyDescent="0.35">
      <c r="A219">
        <v>218</v>
      </c>
      <c r="B219" t="s">
        <v>20</v>
      </c>
      <c r="C219">
        <v>127</v>
      </c>
      <c r="D219" t="s">
        <v>13</v>
      </c>
      <c r="E219">
        <v>30</v>
      </c>
      <c r="F219">
        <v>1.5</v>
      </c>
      <c r="G219">
        <v>201</v>
      </c>
      <c r="H219">
        <v>244</v>
      </c>
      <c r="I219">
        <v>155</v>
      </c>
      <c r="J219">
        <v>4</v>
      </c>
      <c r="K219" t="s">
        <v>14</v>
      </c>
      <c r="L219" t="s">
        <v>21</v>
      </c>
      <c r="M219">
        <v>3</v>
      </c>
      <c r="N219">
        <f t="shared" si="18"/>
        <v>1800</v>
      </c>
      <c r="O219">
        <f t="shared" si="19"/>
        <v>1764</v>
      </c>
      <c r="P219" s="1">
        <f t="shared" si="20"/>
        <v>11.380645161290323</v>
      </c>
      <c r="Q219" s="1">
        <f t="shared" si="21"/>
        <v>1.0307041897652514</v>
      </c>
      <c r="R219" s="1">
        <f t="shared" si="22"/>
        <v>202.89411975528972</v>
      </c>
      <c r="S219" s="1">
        <f t="shared" si="23"/>
        <v>1.8941197552897222</v>
      </c>
    </row>
    <row r="220" spans="1:19" x14ac:dyDescent="0.35">
      <c r="A220">
        <v>219</v>
      </c>
      <c r="B220" t="s">
        <v>20</v>
      </c>
      <c r="C220">
        <v>127</v>
      </c>
      <c r="D220" t="s">
        <v>13</v>
      </c>
      <c r="E220">
        <v>30</v>
      </c>
      <c r="F220">
        <v>1.5</v>
      </c>
      <c r="G220">
        <v>124</v>
      </c>
      <c r="H220">
        <v>396</v>
      </c>
      <c r="I220">
        <v>95</v>
      </c>
      <c r="J220">
        <v>4</v>
      </c>
      <c r="K220" t="s">
        <v>14</v>
      </c>
      <c r="L220" t="s">
        <v>21</v>
      </c>
      <c r="M220">
        <v>3</v>
      </c>
      <c r="N220">
        <f t="shared" si="18"/>
        <v>1800</v>
      </c>
      <c r="O220">
        <f t="shared" si="19"/>
        <v>1764</v>
      </c>
      <c r="P220" s="1">
        <f t="shared" si="20"/>
        <v>18.568421052631578</v>
      </c>
      <c r="Q220" s="1">
        <f t="shared" si="21"/>
        <v>0.63172192275934769</v>
      </c>
      <c r="R220" s="1">
        <f t="shared" si="22"/>
        <v>124.35446049517759</v>
      </c>
      <c r="S220" s="1">
        <f t="shared" si="23"/>
        <v>0.35446049517759093</v>
      </c>
    </row>
    <row r="221" spans="1:19" x14ac:dyDescent="0.35">
      <c r="A221">
        <v>220</v>
      </c>
      <c r="B221" t="s">
        <v>20</v>
      </c>
      <c r="C221">
        <v>127</v>
      </c>
      <c r="D221" t="s">
        <v>13</v>
      </c>
      <c r="E221">
        <v>30</v>
      </c>
      <c r="F221">
        <v>1</v>
      </c>
      <c r="G221">
        <v>646</v>
      </c>
      <c r="H221">
        <v>51</v>
      </c>
      <c r="I221">
        <v>497</v>
      </c>
      <c r="J221">
        <v>2</v>
      </c>
      <c r="K221" t="s">
        <v>14</v>
      </c>
      <c r="L221" t="s">
        <v>21</v>
      </c>
      <c r="M221">
        <v>3</v>
      </c>
      <c r="N221">
        <f t="shared" si="18"/>
        <v>3600</v>
      </c>
      <c r="O221">
        <f t="shared" si="19"/>
        <v>3528</v>
      </c>
      <c r="P221" s="1">
        <f t="shared" si="20"/>
        <v>7.098591549295775</v>
      </c>
      <c r="Q221" s="1">
        <f t="shared" si="21"/>
        <v>3.3049031116989029</v>
      </c>
      <c r="R221" s="1">
        <f t="shared" si="22"/>
        <v>650.570177537929</v>
      </c>
      <c r="S221" s="1">
        <f t="shared" si="23"/>
        <v>4.5701775379289984</v>
      </c>
    </row>
    <row r="222" spans="1:19" x14ac:dyDescent="0.35">
      <c r="A222">
        <v>221</v>
      </c>
      <c r="B222" t="s">
        <v>20</v>
      </c>
      <c r="C222">
        <v>127</v>
      </c>
      <c r="D222" t="s">
        <v>13</v>
      </c>
      <c r="E222">
        <v>30</v>
      </c>
      <c r="F222">
        <v>1</v>
      </c>
      <c r="G222">
        <v>484</v>
      </c>
      <c r="H222">
        <v>68</v>
      </c>
      <c r="I222">
        <v>372</v>
      </c>
      <c r="J222">
        <v>2</v>
      </c>
      <c r="K222" t="s">
        <v>14</v>
      </c>
      <c r="L222" t="s">
        <v>21</v>
      </c>
      <c r="M222">
        <v>3</v>
      </c>
      <c r="N222">
        <f t="shared" si="18"/>
        <v>3600</v>
      </c>
      <c r="O222">
        <f t="shared" si="19"/>
        <v>3528</v>
      </c>
      <c r="P222" s="1">
        <f t="shared" si="20"/>
        <v>9.4838709677419359</v>
      </c>
      <c r="Q222" s="1">
        <f t="shared" si="21"/>
        <v>2.4736900554366033</v>
      </c>
      <c r="R222" s="1">
        <f t="shared" si="22"/>
        <v>486.94588741269536</v>
      </c>
      <c r="S222" s="1">
        <f t="shared" si="23"/>
        <v>2.945887412695356</v>
      </c>
    </row>
    <row r="223" spans="1:19" x14ac:dyDescent="0.35">
      <c r="A223">
        <v>222</v>
      </c>
      <c r="B223" t="s">
        <v>20</v>
      </c>
      <c r="C223">
        <v>127</v>
      </c>
      <c r="D223" t="s">
        <v>13</v>
      </c>
      <c r="E223">
        <v>30</v>
      </c>
      <c r="F223">
        <v>1</v>
      </c>
      <c r="G223">
        <v>411</v>
      </c>
      <c r="H223">
        <v>80</v>
      </c>
      <c r="I223">
        <v>316</v>
      </c>
      <c r="J223">
        <v>2</v>
      </c>
      <c r="K223" t="s">
        <v>14</v>
      </c>
      <c r="L223" t="s">
        <v>21</v>
      </c>
      <c r="M223">
        <v>3</v>
      </c>
      <c r="N223">
        <f t="shared" si="18"/>
        <v>3600</v>
      </c>
      <c r="O223">
        <f t="shared" si="19"/>
        <v>3528</v>
      </c>
      <c r="P223" s="1">
        <f t="shared" si="20"/>
        <v>11.164556962025317</v>
      </c>
      <c r="Q223" s="1">
        <f t="shared" si="21"/>
        <v>2.101306606231093</v>
      </c>
      <c r="R223" s="1">
        <f t="shared" si="22"/>
        <v>413.64220543659064</v>
      </c>
      <c r="S223" s="1">
        <f t="shared" si="23"/>
        <v>2.6422054365906433</v>
      </c>
    </row>
    <row r="224" spans="1:19" x14ac:dyDescent="0.35">
      <c r="A224">
        <v>223</v>
      </c>
      <c r="B224" t="s">
        <v>20</v>
      </c>
      <c r="C224">
        <v>127</v>
      </c>
      <c r="D224" t="s">
        <v>13</v>
      </c>
      <c r="E224">
        <v>30</v>
      </c>
      <c r="F224">
        <v>1</v>
      </c>
      <c r="G224">
        <v>316</v>
      </c>
      <c r="H224">
        <v>104</v>
      </c>
      <c r="I224">
        <v>243</v>
      </c>
      <c r="J224">
        <v>4</v>
      </c>
      <c r="K224" t="s">
        <v>14</v>
      </c>
      <c r="L224" t="s">
        <v>21</v>
      </c>
      <c r="M224">
        <v>3</v>
      </c>
      <c r="N224">
        <f t="shared" si="18"/>
        <v>1800</v>
      </c>
      <c r="O224">
        <f t="shared" si="19"/>
        <v>1764</v>
      </c>
      <c r="P224" s="1">
        <f t="shared" si="20"/>
        <v>7.2592592592592595</v>
      </c>
      <c r="Q224" s="1">
        <f t="shared" si="21"/>
        <v>1.6158781813739103</v>
      </c>
      <c r="R224" s="1">
        <f t="shared" si="22"/>
        <v>318.08562000345421</v>
      </c>
      <c r="S224" s="1">
        <f t="shared" si="23"/>
        <v>2.0856200034542098</v>
      </c>
    </row>
    <row r="225" spans="1:19" x14ac:dyDescent="0.35">
      <c r="A225">
        <v>224</v>
      </c>
      <c r="B225" t="s">
        <v>20</v>
      </c>
      <c r="C225">
        <v>127</v>
      </c>
      <c r="D225" t="s">
        <v>13</v>
      </c>
      <c r="E225">
        <v>30</v>
      </c>
      <c r="F225">
        <v>1</v>
      </c>
      <c r="G225">
        <v>237</v>
      </c>
      <c r="H225">
        <v>138</v>
      </c>
      <c r="I225">
        <v>182</v>
      </c>
      <c r="J225">
        <v>4</v>
      </c>
      <c r="K225" t="s">
        <v>14</v>
      </c>
      <c r="L225" t="s">
        <v>21</v>
      </c>
      <c r="M225">
        <v>3</v>
      </c>
      <c r="N225">
        <f t="shared" si="18"/>
        <v>1800</v>
      </c>
      <c r="O225">
        <f t="shared" si="19"/>
        <v>1764</v>
      </c>
      <c r="P225" s="1">
        <f t="shared" si="20"/>
        <v>9.6923076923076916</v>
      </c>
      <c r="Q225" s="1">
        <f t="shared" si="21"/>
        <v>1.2102462099179081</v>
      </c>
      <c r="R225" s="1">
        <f t="shared" si="22"/>
        <v>238.2369664223402</v>
      </c>
      <c r="S225" s="1">
        <f t="shared" si="23"/>
        <v>1.2369664223402026</v>
      </c>
    </row>
    <row r="226" spans="1:19" x14ac:dyDescent="0.35">
      <c r="A226">
        <v>225</v>
      </c>
      <c r="B226" t="s">
        <v>20</v>
      </c>
      <c r="C226">
        <v>127</v>
      </c>
      <c r="D226" t="s">
        <v>13</v>
      </c>
      <c r="E226">
        <v>30</v>
      </c>
      <c r="F226">
        <v>1</v>
      </c>
      <c r="G226">
        <v>201</v>
      </c>
      <c r="H226">
        <v>163</v>
      </c>
      <c r="I226">
        <v>155</v>
      </c>
      <c r="J226">
        <v>4</v>
      </c>
      <c r="K226" t="s">
        <v>14</v>
      </c>
      <c r="L226" t="s">
        <v>21</v>
      </c>
      <c r="M226">
        <v>3</v>
      </c>
      <c r="N226">
        <f t="shared" si="18"/>
        <v>1800</v>
      </c>
      <c r="O226">
        <f t="shared" si="19"/>
        <v>1764</v>
      </c>
      <c r="P226" s="1">
        <f t="shared" si="20"/>
        <v>11.380645161290323</v>
      </c>
      <c r="Q226" s="1">
        <f t="shared" si="21"/>
        <v>1.0307041897652514</v>
      </c>
      <c r="R226" s="1">
        <f t="shared" si="22"/>
        <v>202.89411975528972</v>
      </c>
      <c r="S226" s="1">
        <f t="shared" si="23"/>
        <v>1.8941197552897222</v>
      </c>
    </row>
    <row r="227" spans="1:19" x14ac:dyDescent="0.35">
      <c r="A227">
        <v>226</v>
      </c>
      <c r="B227" t="s">
        <v>20</v>
      </c>
      <c r="C227">
        <v>127</v>
      </c>
      <c r="D227" t="s">
        <v>13</v>
      </c>
      <c r="E227">
        <v>30</v>
      </c>
      <c r="F227">
        <v>1</v>
      </c>
      <c r="G227">
        <v>147</v>
      </c>
      <c r="H227">
        <v>223</v>
      </c>
      <c r="I227">
        <v>113</v>
      </c>
      <c r="J227">
        <v>4</v>
      </c>
      <c r="K227" t="s">
        <v>14</v>
      </c>
      <c r="L227" t="s">
        <v>21</v>
      </c>
      <c r="M227">
        <v>3</v>
      </c>
      <c r="N227">
        <f t="shared" si="18"/>
        <v>1800</v>
      </c>
      <c r="O227">
        <f t="shared" si="19"/>
        <v>1764</v>
      </c>
      <c r="P227" s="1">
        <f t="shared" si="20"/>
        <v>15.610619469026549</v>
      </c>
      <c r="Q227" s="1">
        <f t="shared" si="21"/>
        <v>0.75141660286111867</v>
      </c>
      <c r="R227" s="1">
        <f t="shared" si="22"/>
        <v>147.91635827321122</v>
      </c>
      <c r="S227" s="1">
        <f t="shared" si="23"/>
        <v>0.9163582732112161</v>
      </c>
    </row>
    <row r="228" spans="1:19" x14ac:dyDescent="0.35">
      <c r="A228">
        <v>227</v>
      </c>
      <c r="B228" t="s">
        <v>20</v>
      </c>
      <c r="C228">
        <v>127</v>
      </c>
      <c r="D228" t="s">
        <v>13</v>
      </c>
      <c r="E228">
        <v>30</v>
      </c>
      <c r="F228">
        <v>1</v>
      </c>
      <c r="G228">
        <v>124</v>
      </c>
      <c r="H228">
        <v>264</v>
      </c>
      <c r="I228">
        <v>95</v>
      </c>
      <c r="J228">
        <v>4</v>
      </c>
      <c r="K228" t="s">
        <v>14</v>
      </c>
      <c r="L228" t="s">
        <v>21</v>
      </c>
      <c r="M228">
        <v>3</v>
      </c>
      <c r="N228">
        <f t="shared" si="18"/>
        <v>1800</v>
      </c>
      <c r="O228">
        <f t="shared" si="19"/>
        <v>1764</v>
      </c>
      <c r="P228" s="1">
        <f t="shared" si="20"/>
        <v>18.568421052631578</v>
      </c>
      <c r="Q228" s="1">
        <f t="shared" si="21"/>
        <v>0.63172192275934769</v>
      </c>
      <c r="R228" s="1">
        <f t="shared" si="22"/>
        <v>124.35446049517759</v>
      </c>
      <c r="S228" s="1">
        <f t="shared" si="23"/>
        <v>0.35446049517759093</v>
      </c>
    </row>
    <row r="229" spans="1:19" x14ac:dyDescent="0.35">
      <c r="A229">
        <v>228</v>
      </c>
      <c r="B229" t="s">
        <v>20</v>
      </c>
      <c r="C229">
        <v>127</v>
      </c>
      <c r="D229" t="s">
        <v>13</v>
      </c>
      <c r="E229">
        <v>30</v>
      </c>
      <c r="F229">
        <v>1</v>
      </c>
      <c r="G229">
        <v>110</v>
      </c>
      <c r="H229">
        <v>298</v>
      </c>
      <c r="I229">
        <v>85</v>
      </c>
      <c r="J229">
        <v>4</v>
      </c>
      <c r="K229" t="s">
        <v>14</v>
      </c>
      <c r="L229" t="s">
        <v>21</v>
      </c>
      <c r="M229">
        <v>3</v>
      </c>
      <c r="N229">
        <f t="shared" si="18"/>
        <v>1800</v>
      </c>
      <c r="O229">
        <f t="shared" si="19"/>
        <v>1764</v>
      </c>
      <c r="P229" s="1">
        <f t="shared" si="20"/>
        <v>20.752941176470589</v>
      </c>
      <c r="Q229" s="1">
        <f t="shared" si="21"/>
        <v>0.56522487825836365</v>
      </c>
      <c r="R229" s="1">
        <f t="shared" si="22"/>
        <v>111.26451728515889</v>
      </c>
      <c r="S229" s="1">
        <f t="shared" si="23"/>
        <v>1.2645172851588882</v>
      </c>
    </row>
    <row r="230" spans="1:19" x14ac:dyDescent="0.35">
      <c r="A230">
        <v>229</v>
      </c>
      <c r="B230" t="s">
        <v>20</v>
      </c>
      <c r="C230">
        <v>127</v>
      </c>
      <c r="D230" t="s">
        <v>13</v>
      </c>
      <c r="E230">
        <v>30</v>
      </c>
      <c r="F230">
        <v>1</v>
      </c>
      <c r="G230">
        <v>73</v>
      </c>
      <c r="H230">
        <v>449</v>
      </c>
      <c r="I230">
        <v>56</v>
      </c>
      <c r="J230">
        <v>4</v>
      </c>
      <c r="K230" t="s">
        <v>16</v>
      </c>
      <c r="L230" t="s">
        <v>21</v>
      </c>
      <c r="M230">
        <v>3</v>
      </c>
      <c r="N230">
        <f t="shared" si="18"/>
        <v>1800</v>
      </c>
      <c r="O230">
        <f t="shared" si="19"/>
        <v>1764</v>
      </c>
      <c r="P230" s="1">
        <f t="shared" si="20"/>
        <v>31.5</v>
      </c>
      <c r="Q230" s="1">
        <f t="shared" si="21"/>
        <v>0.37238344920551014</v>
      </c>
      <c r="R230" s="1">
        <f t="shared" si="22"/>
        <v>73.30368197610467</v>
      </c>
      <c r="S230" s="1">
        <f t="shared" si="23"/>
        <v>0.30368197610467007</v>
      </c>
    </row>
    <row r="231" spans="1:19" x14ac:dyDescent="0.35">
      <c r="A231">
        <v>230</v>
      </c>
      <c r="B231" t="s">
        <v>20</v>
      </c>
      <c r="C231">
        <v>127</v>
      </c>
      <c r="D231" t="s">
        <v>13</v>
      </c>
      <c r="E231">
        <v>30</v>
      </c>
      <c r="F231">
        <v>1</v>
      </c>
      <c r="G231">
        <v>58</v>
      </c>
      <c r="H231">
        <v>565</v>
      </c>
      <c r="I231">
        <v>45</v>
      </c>
      <c r="J231">
        <v>4</v>
      </c>
      <c r="K231" t="s">
        <v>16</v>
      </c>
      <c r="L231" t="s">
        <v>21</v>
      </c>
      <c r="M231">
        <v>3</v>
      </c>
      <c r="N231">
        <f t="shared" si="18"/>
        <v>1800</v>
      </c>
      <c r="O231">
        <f t="shared" si="19"/>
        <v>1764</v>
      </c>
      <c r="P231" s="1">
        <f t="shared" si="20"/>
        <v>39.200000000000003</v>
      </c>
      <c r="Q231" s="1">
        <f t="shared" si="21"/>
        <v>0.29923670025442778</v>
      </c>
      <c r="R231" s="1">
        <f t="shared" si="22"/>
        <v>58.904744445084106</v>
      </c>
      <c r="S231" s="1">
        <f t="shared" si="23"/>
        <v>0.90474444508410556</v>
      </c>
    </row>
    <row r="232" spans="1:19" x14ac:dyDescent="0.35">
      <c r="A232">
        <v>231</v>
      </c>
      <c r="B232" t="s">
        <v>20</v>
      </c>
      <c r="C232">
        <v>127</v>
      </c>
      <c r="D232" t="s">
        <v>13</v>
      </c>
      <c r="E232">
        <v>30</v>
      </c>
      <c r="F232">
        <v>1</v>
      </c>
      <c r="G232">
        <v>49</v>
      </c>
      <c r="H232">
        <v>669</v>
      </c>
      <c r="I232">
        <v>38</v>
      </c>
      <c r="J232">
        <v>4</v>
      </c>
      <c r="K232" t="s">
        <v>16</v>
      </c>
      <c r="L232" t="s">
        <v>21</v>
      </c>
      <c r="M232">
        <v>3</v>
      </c>
      <c r="N232">
        <f t="shared" si="18"/>
        <v>1800</v>
      </c>
      <c r="O232">
        <f t="shared" si="19"/>
        <v>1764</v>
      </c>
      <c r="P232" s="1">
        <f t="shared" si="20"/>
        <v>46.421052631578945</v>
      </c>
      <c r="Q232" s="1">
        <f t="shared" si="21"/>
        <v>0.252688769103739</v>
      </c>
      <c r="R232" s="1">
        <f t="shared" si="22"/>
        <v>49.741784198071024</v>
      </c>
      <c r="S232" s="1">
        <f t="shared" si="23"/>
        <v>0.74178419807102358</v>
      </c>
    </row>
    <row r="233" spans="1:19" x14ac:dyDescent="0.35">
      <c r="A233">
        <v>232</v>
      </c>
      <c r="B233" t="s">
        <v>20</v>
      </c>
      <c r="C233">
        <v>127</v>
      </c>
      <c r="D233" t="s">
        <v>13</v>
      </c>
      <c r="E233">
        <v>30</v>
      </c>
      <c r="F233">
        <v>1</v>
      </c>
      <c r="G233">
        <v>38</v>
      </c>
      <c r="H233">
        <v>767</v>
      </c>
      <c r="I233">
        <v>29</v>
      </c>
      <c r="J233">
        <v>4</v>
      </c>
      <c r="K233" t="s">
        <v>16</v>
      </c>
      <c r="L233" t="s">
        <v>21</v>
      </c>
      <c r="M233">
        <v>3</v>
      </c>
      <c r="N233">
        <f t="shared" si="18"/>
        <v>1800</v>
      </c>
      <c r="O233">
        <f t="shared" si="19"/>
        <v>1764</v>
      </c>
      <c r="P233" s="1">
        <f t="shared" si="20"/>
        <v>60.827586206896555</v>
      </c>
      <c r="Q233" s="1">
        <f t="shared" si="21"/>
        <v>0.19284142905285348</v>
      </c>
      <c r="R233" s="1">
        <f t="shared" si="22"/>
        <v>37.960835309054204</v>
      </c>
      <c r="S233" s="1">
        <f t="shared" si="23"/>
        <v>-3.916469094579611E-2</v>
      </c>
    </row>
    <row r="234" spans="1:19" x14ac:dyDescent="0.35">
      <c r="A234">
        <v>233</v>
      </c>
      <c r="B234" t="s">
        <v>20</v>
      </c>
      <c r="C234">
        <v>127</v>
      </c>
      <c r="D234" t="s">
        <v>13</v>
      </c>
      <c r="E234">
        <v>30</v>
      </c>
      <c r="F234">
        <v>0.75</v>
      </c>
      <c r="G234">
        <v>651</v>
      </c>
      <c r="H234">
        <v>38</v>
      </c>
      <c r="I234">
        <v>501</v>
      </c>
      <c r="J234">
        <v>2</v>
      </c>
      <c r="K234" t="s">
        <v>14</v>
      </c>
      <c r="L234" t="s">
        <v>21</v>
      </c>
      <c r="M234">
        <v>3</v>
      </c>
      <c r="N234">
        <f t="shared" si="18"/>
        <v>3600</v>
      </c>
      <c r="O234">
        <f t="shared" si="19"/>
        <v>3528</v>
      </c>
      <c r="P234" s="1">
        <f t="shared" si="20"/>
        <v>7.0419161676646711</v>
      </c>
      <c r="Q234" s="1">
        <f t="shared" si="21"/>
        <v>3.331501929499296</v>
      </c>
      <c r="R234" s="1">
        <f t="shared" si="22"/>
        <v>655.80615482193639</v>
      </c>
      <c r="S234" s="1">
        <f t="shared" si="23"/>
        <v>4.8061548219363885</v>
      </c>
    </row>
    <row r="235" spans="1:19" x14ac:dyDescent="0.35">
      <c r="A235">
        <v>234</v>
      </c>
      <c r="B235" t="s">
        <v>20</v>
      </c>
      <c r="C235">
        <v>127</v>
      </c>
      <c r="D235" t="s">
        <v>13</v>
      </c>
      <c r="E235">
        <v>30</v>
      </c>
      <c r="F235">
        <v>0.75</v>
      </c>
      <c r="G235">
        <v>488</v>
      </c>
      <c r="H235">
        <v>50</v>
      </c>
      <c r="I235">
        <v>375</v>
      </c>
      <c r="J235">
        <v>2</v>
      </c>
      <c r="K235" t="s">
        <v>14</v>
      </c>
      <c r="L235" t="s">
        <v>21</v>
      </c>
      <c r="M235">
        <v>3</v>
      </c>
      <c r="N235">
        <f t="shared" si="18"/>
        <v>3600</v>
      </c>
      <c r="O235">
        <f t="shared" si="19"/>
        <v>3528</v>
      </c>
      <c r="P235" s="1">
        <f t="shared" si="20"/>
        <v>9.4079999999999995</v>
      </c>
      <c r="Q235" s="1">
        <f t="shared" si="21"/>
        <v>2.4936391687868986</v>
      </c>
      <c r="R235" s="1">
        <f t="shared" si="22"/>
        <v>490.87287037570098</v>
      </c>
      <c r="S235" s="1">
        <f t="shared" si="23"/>
        <v>2.8728703757009839</v>
      </c>
    </row>
    <row r="236" spans="1:19" x14ac:dyDescent="0.35">
      <c r="A236">
        <v>235</v>
      </c>
      <c r="B236" t="s">
        <v>20</v>
      </c>
      <c r="C236">
        <v>127</v>
      </c>
      <c r="D236" t="s">
        <v>13</v>
      </c>
      <c r="E236">
        <v>30</v>
      </c>
      <c r="F236">
        <v>0.75</v>
      </c>
      <c r="G236">
        <v>414</v>
      </c>
      <c r="H236">
        <v>59</v>
      </c>
      <c r="I236">
        <v>318</v>
      </c>
      <c r="J236">
        <v>2</v>
      </c>
      <c r="K236" t="s">
        <v>14</v>
      </c>
      <c r="L236" t="s">
        <v>21</v>
      </c>
      <c r="M236">
        <v>3</v>
      </c>
      <c r="N236">
        <f t="shared" si="18"/>
        <v>3600</v>
      </c>
      <c r="O236">
        <f t="shared" si="19"/>
        <v>3528</v>
      </c>
      <c r="P236" s="1">
        <f t="shared" si="20"/>
        <v>11.09433962264151</v>
      </c>
      <c r="Q236" s="1">
        <f t="shared" si="21"/>
        <v>2.1146060151312902</v>
      </c>
      <c r="R236" s="1">
        <f t="shared" si="22"/>
        <v>416.26019407859445</v>
      </c>
      <c r="S236" s="1">
        <f t="shared" si="23"/>
        <v>2.2601940785944521</v>
      </c>
    </row>
    <row r="237" spans="1:19" x14ac:dyDescent="0.35">
      <c r="A237">
        <v>236</v>
      </c>
      <c r="B237" t="s">
        <v>20</v>
      </c>
      <c r="C237">
        <v>127</v>
      </c>
      <c r="D237" t="s">
        <v>13</v>
      </c>
      <c r="E237">
        <v>30</v>
      </c>
      <c r="F237">
        <v>0.75</v>
      </c>
      <c r="G237">
        <v>328</v>
      </c>
      <c r="H237">
        <v>75</v>
      </c>
      <c r="I237">
        <v>252</v>
      </c>
      <c r="J237">
        <v>4</v>
      </c>
      <c r="K237" t="s">
        <v>14</v>
      </c>
      <c r="L237" t="s">
        <v>21</v>
      </c>
      <c r="M237">
        <v>3</v>
      </c>
      <c r="N237">
        <f t="shared" si="18"/>
        <v>1800</v>
      </c>
      <c r="O237">
        <f t="shared" si="19"/>
        <v>1764</v>
      </c>
      <c r="P237" s="1">
        <f t="shared" si="20"/>
        <v>7</v>
      </c>
      <c r="Q237" s="1">
        <f t="shared" si="21"/>
        <v>1.6757255214247957</v>
      </c>
      <c r="R237" s="1">
        <f t="shared" si="22"/>
        <v>329.86656889247104</v>
      </c>
      <c r="S237" s="1">
        <f t="shared" si="23"/>
        <v>1.8665688924710366</v>
      </c>
    </row>
    <row r="238" spans="1:19" x14ac:dyDescent="0.35">
      <c r="A238">
        <v>237</v>
      </c>
      <c r="B238" t="s">
        <v>20</v>
      </c>
      <c r="C238">
        <v>127</v>
      </c>
      <c r="D238" t="s">
        <v>13</v>
      </c>
      <c r="E238">
        <v>30</v>
      </c>
      <c r="F238">
        <v>0.75</v>
      </c>
      <c r="G238">
        <v>246</v>
      </c>
      <c r="H238">
        <v>100</v>
      </c>
      <c r="I238">
        <v>189</v>
      </c>
      <c r="J238">
        <v>4</v>
      </c>
      <c r="K238" t="s">
        <v>14</v>
      </c>
      <c r="L238" t="s">
        <v>21</v>
      </c>
      <c r="M238">
        <v>3</v>
      </c>
      <c r="N238">
        <f t="shared" si="18"/>
        <v>1800</v>
      </c>
      <c r="O238">
        <f t="shared" si="19"/>
        <v>1764</v>
      </c>
      <c r="P238" s="1">
        <f t="shared" si="20"/>
        <v>9.3333333333333339</v>
      </c>
      <c r="Q238" s="1">
        <f t="shared" si="21"/>
        <v>1.2567941410685968</v>
      </c>
      <c r="R238" s="1">
        <f t="shared" si="22"/>
        <v>247.39992666935328</v>
      </c>
      <c r="S238" s="1">
        <f t="shared" si="23"/>
        <v>1.3999266693532775</v>
      </c>
    </row>
    <row r="239" spans="1:19" x14ac:dyDescent="0.35">
      <c r="A239">
        <v>238</v>
      </c>
      <c r="B239" t="s">
        <v>20</v>
      </c>
      <c r="C239">
        <v>127</v>
      </c>
      <c r="D239" t="s">
        <v>13</v>
      </c>
      <c r="E239">
        <v>30</v>
      </c>
      <c r="F239">
        <v>0.75</v>
      </c>
      <c r="G239">
        <v>209</v>
      </c>
      <c r="H239">
        <v>118</v>
      </c>
      <c r="I239">
        <v>161</v>
      </c>
      <c r="J239">
        <v>4</v>
      </c>
      <c r="K239" t="s">
        <v>14</v>
      </c>
      <c r="L239" t="s">
        <v>21</v>
      </c>
      <c r="M239">
        <v>3</v>
      </c>
      <c r="N239">
        <f t="shared" si="18"/>
        <v>1800</v>
      </c>
      <c r="O239">
        <f t="shared" si="19"/>
        <v>1764</v>
      </c>
      <c r="P239" s="1">
        <f t="shared" si="20"/>
        <v>10.956521739130435</v>
      </c>
      <c r="Q239" s="1">
        <f t="shared" si="21"/>
        <v>1.0706024164658416</v>
      </c>
      <c r="R239" s="1">
        <f t="shared" si="22"/>
        <v>210.74808568130092</v>
      </c>
      <c r="S239" s="1">
        <f t="shared" si="23"/>
        <v>1.7480856813009211</v>
      </c>
    </row>
    <row r="240" spans="1:19" x14ac:dyDescent="0.35">
      <c r="A240">
        <v>239</v>
      </c>
      <c r="B240" t="s">
        <v>20</v>
      </c>
      <c r="C240">
        <v>127</v>
      </c>
      <c r="D240" t="s">
        <v>13</v>
      </c>
      <c r="E240">
        <v>30</v>
      </c>
      <c r="F240">
        <v>0.75</v>
      </c>
      <c r="G240">
        <v>152</v>
      </c>
      <c r="H240">
        <v>162</v>
      </c>
      <c r="I240">
        <v>117</v>
      </c>
      <c r="J240">
        <v>4</v>
      </c>
      <c r="K240" t="s">
        <v>14</v>
      </c>
      <c r="L240" t="s">
        <v>21</v>
      </c>
      <c r="M240">
        <v>3</v>
      </c>
      <c r="N240">
        <f t="shared" si="18"/>
        <v>1800</v>
      </c>
      <c r="O240">
        <f t="shared" si="19"/>
        <v>1764</v>
      </c>
      <c r="P240" s="1">
        <f t="shared" si="20"/>
        <v>15.076923076923077</v>
      </c>
      <c r="Q240" s="1">
        <f t="shared" si="21"/>
        <v>0.7780154206615123</v>
      </c>
      <c r="R240" s="1">
        <f t="shared" si="22"/>
        <v>153.15233555721869</v>
      </c>
      <c r="S240" s="1">
        <f t="shared" si="23"/>
        <v>1.1523355572186915</v>
      </c>
    </row>
    <row r="241" spans="1:19" x14ac:dyDescent="0.35">
      <c r="A241">
        <v>240</v>
      </c>
      <c r="B241" t="s">
        <v>20</v>
      </c>
      <c r="C241">
        <v>127</v>
      </c>
      <c r="D241" t="s">
        <v>13</v>
      </c>
      <c r="E241">
        <v>30</v>
      </c>
      <c r="F241">
        <v>0.75</v>
      </c>
      <c r="G241">
        <v>134</v>
      </c>
      <c r="H241">
        <v>183</v>
      </c>
      <c r="I241">
        <v>103</v>
      </c>
      <c r="J241">
        <v>4</v>
      </c>
      <c r="K241" t="s">
        <v>22</v>
      </c>
      <c r="L241" t="s">
        <v>21</v>
      </c>
      <c r="M241">
        <v>3</v>
      </c>
      <c r="N241">
        <f t="shared" si="18"/>
        <v>1800</v>
      </c>
      <c r="O241">
        <f t="shared" si="19"/>
        <v>1764</v>
      </c>
      <c r="P241" s="1">
        <f t="shared" si="20"/>
        <v>17.126213592233011</v>
      </c>
      <c r="Q241" s="1">
        <f t="shared" si="21"/>
        <v>0.68491955836013463</v>
      </c>
      <c r="R241" s="1">
        <f t="shared" si="22"/>
        <v>134.82641506319248</v>
      </c>
      <c r="S241" s="1">
        <f t="shared" si="23"/>
        <v>0.82641506319248492</v>
      </c>
    </row>
    <row r="242" spans="1:19" x14ac:dyDescent="0.35">
      <c r="A242">
        <v>241</v>
      </c>
      <c r="B242" t="s">
        <v>20</v>
      </c>
      <c r="C242">
        <v>127</v>
      </c>
      <c r="D242" t="s">
        <v>13</v>
      </c>
      <c r="E242">
        <v>30</v>
      </c>
      <c r="F242">
        <v>0.75</v>
      </c>
      <c r="G242">
        <v>114</v>
      </c>
      <c r="H242">
        <v>216</v>
      </c>
      <c r="I242">
        <v>88</v>
      </c>
      <c r="J242">
        <v>4</v>
      </c>
      <c r="K242" t="s">
        <v>14</v>
      </c>
      <c r="L242" t="s">
        <v>21</v>
      </c>
      <c r="M242">
        <v>3</v>
      </c>
      <c r="N242">
        <f t="shared" si="18"/>
        <v>1800</v>
      </c>
      <c r="O242">
        <f t="shared" si="19"/>
        <v>1764</v>
      </c>
      <c r="P242" s="1">
        <f t="shared" si="20"/>
        <v>20.045454545454547</v>
      </c>
      <c r="Q242" s="1">
        <f t="shared" si="21"/>
        <v>0.58517399160865868</v>
      </c>
      <c r="R242" s="1">
        <f t="shared" si="22"/>
        <v>115.19150024816446</v>
      </c>
      <c r="S242" s="1">
        <f t="shared" si="23"/>
        <v>1.1915002481644592</v>
      </c>
    </row>
    <row r="243" spans="1:19" x14ac:dyDescent="0.35">
      <c r="A243">
        <v>242</v>
      </c>
      <c r="B243" t="s">
        <v>20</v>
      </c>
      <c r="C243">
        <v>127</v>
      </c>
      <c r="D243" t="s">
        <v>13</v>
      </c>
      <c r="E243">
        <v>30</v>
      </c>
      <c r="F243">
        <v>0.75</v>
      </c>
      <c r="G243">
        <v>97</v>
      </c>
      <c r="H243">
        <v>253</v>
      </c>
      <c r="I243">
        <v>75</v>
      </c>
      <c r="J243">
        <v>4</v>
      </c>
      <c r="K243" t="s">
        <v>14</v>
      </c>
      <c r="L243" t="s">
        <v>21</v>
      </c>
      <c r="M243">
        <v>3</v>
      </c>
      <c r="N243">
        <f t="shared" si="18"/>
        <v>1800</v>
      </c>
      <c r="O243">
        <f t="shared" si="19"/>
        <v>1764</v>
      </c>
      <c r="P243" s="1">
        <f t="shared" si="20"/>
        <v>23.52</v>
      </c>
      <c r="Q243" s="1">
        <f t="shared" si="21"/>
        <v>0.49872783375737967</v>
      </c>
      <c r="R243" s="1">
        <f t="shared" si="22"/>
        <v>98.174574075140185</v>
      </c>
      <c r="S243" s="1">
        <f t="shared" si="23"/>
        <v>1.1745740751401854</v>
      </c>
    </row>
    <row r="244" spans="1:19" x14ac:dyDescent="0.35">
      <c r="A244">
        <v>243</v>
      </c>
      <c r="B244" t="s">
        <v>20</v>
      </c>
      <c r="C244">
        <v>127</v>
      </c>
      <c r="D244" t="s">
        <v>13</v>
      </c>
      <c r="E244">
        <v>30</v>
      </c>
      <c r="F244">
        <v>0.75</v>
      </c>
      <c r="G244">
        <v>87</v>
      </c>
      <c r="H244">
        <v>282</v>
      </c>
      <c r="I244">
        <v>67</v>
      </c>
      <c r="J244">
        <v>6</v>
      </c>
      <c r="K244" t="s">
        <v>14</v>
      </c>
      <c r="L244" t="s">
        <v>21</v>
      </c>
      <c r="M244">
        <v>3</v>
      </c>
      <c r="N244">
        <f t="shared" si="18"/>
        <v>1200</v>
      </c>
      <c r="O244">
        <f t="shared" si="19"/>
        <v>1176</v>
      </c>
      <c r="P244" s="1">
        <f t="shared" si="20"/>
        <v>17.552238805970148</v>
      </c>
      <c r="Q244" s="1">
        <f t="shared" si="21"/>
        <v>0.44553019815659251</v>
      </c>
      <c r="R244" s="1">
        <f t="shared" si="22"/>
        <v>87.702619507125235</v>
      </c>
      <c r="S244" s="1">
        <f t="shared" si="23"/>
        <v>0.70261950712523458</v>
      </c>
    </row>
    <row r="245" spans="1:19" x14ac:dyDescent="0.35">
      <c r="A245">
        <v>244</v>
      </c>
      <c r="B245" t="s">
        <v>20</v>
      </c>
      <c r="C245">
        <v>127</v>
      </c>
      <c r="D245" t="s">
        <v>13</v>
      </c>
      <c r="E245">
        <v>30</v>
      </c>
      <c r="F245">
        <v>0.75</v>
      </c>
      <c r="G245">
        <v>74</v>
      </c>
      <c r="H245">
        <v>332</v>
      </c>
      <c r="I245">
        <v>57</v>
      </c>
      <c r="J245">
        <v>6</v>
      </c>
      <c r="K245" t="s">
        <v>14</v>
      </c>
      <c r="L245" t="s">
        <v>21</v>
      </c>
      <c r="M245">
        <v>3</v>
      </c>
      <c r="N245">
        <f t="shared" si="18"/>
        <v>1200</v>
      </c>
      <c r="O245">
        <f t="shared" si="19"/>
        <v>1176</v>
      </c>
      <c r="P245" s="1">
        <f t="shared" si="20"/>
        <v>20.631578947368421</v>
      </c>
      <c r="Q245" s="1">
        <f t="shared" si="21"/>
        <v>0.37903315365560852</v>
      </c>
      <c r="R245" s="1">
        <f t="shared" si="22"/>
        <v>74.612676297106532</v>
      </c>
      <c r="S245" s="1">
        <f t="shared" si="23"/>
        <v>0.61267629710653182</v>
      </c>
    </row>
    <row r="246" spans="1:19" x14ac:dyDescent="0.35">
      <c r="A246">
        <v>245</v>
      </c>
      <c r="B246" t="s">
        <v>20</v>
      </c>
      <c r="C246">
        <v>127</v>
      </c>
      <c r="D246" t="s">
        <v>13</v>
      </c>
      <c r="E246">
        <v>30</v>
      </c>
      <c r="F246">
        <v>0.75</v>
      </c>
      <c r="G246">
        <v>62</v>
      </c>
      <c r="H246">
        <v>366</v>
      </c>
      <c r="I246">
        <v>48</v>
      </c>
      <c r="J246">
        <v>4</v>
      </c>
      <c r="K246" t="s">
        <v>22</v>
      </c>
      <c r="L246" t="s">
        <v>21</v>
      </c>
      <c r="M246">
        <v>3</v>
      </c>
      <c r="N246">
        <f t="shared" si="18"/>
        <v>1800</v>
      </c>
      <c r="O246">
        <f t="shared" si="19"/>
        <v>1764</v>
      </c>
      <c r="P246" s="1">
        <f t="shared" si="20"/>
        <v>36.75</v>
      </c>
      <c r="Q246" s="1">
        <f t="shared" si="21"/>
        <v>0.31918581360472298</v>
      </c>
      <c r="R246" s="1">
        <f t="shared" si="22"/>
        <v>62.831727408089719</v>
      </c>
      <c r="S246" s="1">
        <f t="shared" si="23"/>
        <v>0.83172740808971923</v>
      </c>
    </row>
    <row r="247" spans="1:19" x14ac:dyDescent="0.35">
      <c r="A247">
        <v>246</v>
      </c>
      <c r="B247" t="s">
        <v>20</v>
      </c>
      <c r="C247">
        <v>127</v>
      </c>
      <c r="D247" t="s">
        <v>13</v>
      </c>
      <c r="E247">
        <v>30</v>
      </c>
      <c r="F247">
        <v>0.75</v>
      </c>
      <c r="G247">
        <v>56</v>
      </c>
      <c r="H247">
        <v>408</v>
      </c>
      <c r="I247">
        <v>43</v>
      </c>
      <c r="J247">
        <v>4</v>
      </c>
      <c r="K247" t="s">
        <v>22</v>
      </c>
      <c r="L247" t="s">
        <v>21</v>
      </c>
      <c r="M247">
        <v>3</v>
      </c>
      <c r="N247">
        <f t="shared" si="18"/>
        <v>1800</v>
      </c>
      <c r="O247">
        <f t="shared" si="19"/>
        <v>1764</v>
      </c>
      <c r="P247" s="1">
        <f t="shared" si="20"/>
        <v>41.02325581395349</v>
      </c>
      <c r="Q247" s="1">
        <f t="shared" si="21"/>
        <v>0.28593729135423102</v>
      </c>
      <c r="R247" s="1">
        <f t="shared" si="22"/>
        <v>56.286755803080375</v>
      </c>
      <c r="S247" s="1">
        <f t="shared" si="23"/>
        <v>0.28675580308037496</v>
      </c>
    </row>
    <row r="248" spans="1:19" x14ac:dyDescent="0.35">
      <c r="A248">
        <v>247</v>
      </c>
      <c r="B248" t="s">
        <v>20</v>
      </c>
      <c r="C248">
        <v>127</v>
      </c>
      <c r="D248" t="s">
        <v>13</v>
      </c>
      <c r="E248">
        <v>30</v>
      </c>
      <c r="F248">
        <v>0.75</v>
      </c>
      <c r="G248">
        <v>50</v>
      </c>
      <c r="H248">
        <v>491</v>
      </c>
      <c r="I248">
        <v>38</v>
      </c>
      <c r="J248">
        <v>4</v>
      </c>
      <c r="K248" t="s">
        <v>16</v>
      </c>
      <c r="L248" t="s">
        <v>21</v>
      </c>
      <c r="M248">
        <v>3</v>
      </c>
      <c r="N248">
        <f t="shared" si="18"/>
        <v>1800</v>
      </c>
      <c r="O248">
        <f t="shared" si="19"/>
        <v>1764</v>
      </c>
      <c r="P248" s="1">
        <f t="shared" si="20"/>
        <v>46.421052631578945</v>
      </c>
      <c r="Q248" s="1">
        <f t="shared" si="21"/>
        <v>0.252688769103739</v>
      </c>
      <c r="R248" s="1">
        <f t="shared" si="22"/>
        <v>49.741784198071024</v>
      </c>
      <c r="S248" s="1">
        <f t="shared" si="23"/>
        <v>-0.25821580192897642</v>
      </c>
    </row>
    <row r="249" spans="1:19" x14ac:dyDescent="0.35">
      <c r="A249">
        <v>248</v>
      </c>
      <c r="B249" t="s">
        <v>20</v>
      </c>
      <c r="C249">
        <v>127</v>
      </c>
      <c r="D249" t="s">
        <v>13</v>
      </c>
      <c r="E249">
        <v>30</v>
      </c>
      <c r="F249">
        <v>0.75</v>
      </c>
      <c r="G249">
        <v>40</v>
      </c>
      <c r="H249">
        <v>617</v>
      </c>
      <c r="I249">
        <v>31</v>
      </c>
      <c r="J249">
        <v>4</v>
      </c>
      <c r="K249" t="s">
        <v>16</v>
      </c>
      <c r="L249" t="s">
        <v>21</v>
      </c>
      <c r="M249">
        <v>3</v>
      </c>
      <c r="N249">
        <f t="shared" si="18"/>
        <v>1800</v>
      </c>
      <c r="O249">
        <f t="shared" si="19"/>
        <v>1764</v>
      </c>
      <c r="P249" s="1">
        <f t="shared" si="20"/>
        <v>56.903225806451616</v>
      </c>
      <c r="Q249" s="1">
        <f t="shared" si="21"/>
        <v>0.20614083795305024</v>
      </c>
      <c r="R249" s="1">
        <f t="shared" si="22"/>
        <v>40.578823951057942</v>
      </c>
      <c r="S249" s="1">
        <f t="shared" si="23"/>
        <v>0.5788239510579416</v>
      </c>
    </row>
    <row r="250" spans="1:19" x14ac:dyDescent="0.35">
      <c r="A250">
        <v>249</v>
      </c>
      <c r="B250" t="s">
        <v>20</v>
      </c>
      <c r="C250">
        <v>127</v>
      </c>
      <c r="D250" t="s">
        <v>13</v>
      </c>
      <c r="E250">
        <v>30</v>
      </c>
      <c r="F250">
        <v>0.5</v>
      </c>
      <c r="G250">
        <v>321</v>
      </c>
      <c r="H250">
        <v>51</v>
      </c>
      <c r="I250">
        <v>247</v>
      </c>
      <c r="J250">
        <v>4</v>
      </c>
      <c r="K250" t="s">
        <v>14</v>
      </c>
      <c r="L250" t="s">
        <v>21</v>
      </c>
      <c r="M250">
        <v>3</v>
      </c>
      <c r="N250">
        <f t="shared" si="18"/>
        <v>1800</v>
      </c>
      <c r="O250">
        <f t="shared" si="19"/>
        <v>1764</v>
      </c>
      <c r="P250" s="1">
        <f t="shared" si="20"/>
        <v>7.1417004048582999</v>
      </c>
      <c r="Q250" s="1">
        <f t="shared" si="21"/>
        <v>1.6424769991743038</v>
      </c>
      <c r="R250" s="1">
        <f t="shared" si="22"/>
        <v>323.32159728746171</v>
      </c>
      <c r="S250" s="1">
        <f t="shared" si="23"/>
        <v>2.3215972874617137</v>
      </c>
    </row>
    <row r="251" spans="1:19" x14ac:dyDescent="0.35">
      <c r="A251">
        <v>250</v>
      </c>
      <c r="B251" t="s">
        <v>20</v>
      </c>
      <c r="C251">
        <v>127</v>
      </c>
      <c r="D251" t="s">
        <v>13</v>
      </c>
      <c r="E251">
        <v>30</v>
      </c>
      <c r="F251">
        <v>0.5</v>
      </c>
      <c r="G251">
        <v>241</v>
      </c>
      <c r="H251">
        <v>68</v>
      </c>
      <c r="I251">
        <v>185</v>
      </c>
      <c r="J251">
        <v>4</v>
      </c>
      <c r="K251" t="s">
        <v>14</v>
      </c>
      <c r="L251" t="s">
        <v>21</v>
      </c>
      <c r="M251">
        <v>3</v>
      </c>
      <c r="N251">
        <f t="shared" si="18"/>
        <v>1800</v>
      </c>
      <c r="O251">
        <f t="shared" si="19"/>
        <v>1764</v>
      </c>
      <c r="P251" s="1">
        <f t="shared" si="20"/>
        <v>9.5351351351351354</v>
      </c>
      <c r="Q251" s="1">
        <f t="shared" si="21"/>
        <v>1.2301953232682032</v>
      </c>
      <c r="R251" s="1">
        <f t="shared" si="22"/>
        <v>242.1639493853458</v>
      </c>
      <c r="S251" s="1">
        <f t="shared" si="23"/>
        <v>1.1639493853458021</v>
      </c>
    </row>
    <row r="252" spans="1:19" x14ac:dyDescent="0.35">
      <c r="A252">
        <v>251</v>
      </c>
      <c r="B252" t="s">
        <v>20</v>
      </c>
      <c r="C252">
        <v>127</v>
      </c>
      <c r="D252" t="s">
        <v>13</v>
      </c>
      <c r="E252">
        <v>30</v>
      </c>
      <c r="F252">
        <v>0.5</v>
      </c>
      <c r="G252">
        <v>205</v>
      </c>
      <c r="H252">
        <v>80</v>
      </c>
      <c r="I252">
        <v>158</v>
      </c>
      <c r="J252">
        <v>4</v>
      </c>
      <c r="K252" t="s">
        <v>14</v>
      </c>
      <c r="L252" t="s">
        <v>21</v>
      </c>
      <c r="M252">
        <v>3</v>
      </c>
      <c r="N252">
        <f t="shared" si="18"/>
        <v>1800</v>
      </c>
      <c r="O252">
        <f t="shared" si="19"/>
        <v>1764</v>
      </c>
      <c r="P252" s="1">
        <f t="shared" si="20"/>
        <v>11.164556962025317</v>
      </c>
      <c r="Q252" s="1">
        <f t="shared" si="21"/>
        <v>1.0506533031155465</v>
      </c>
      <c r="R252" s="1">
        <f t="shared" si="22"/>
        <v>206.82110271829532</v>
      </c>
      <c r="S252" s="1">
        <f t="shared" si="23"/>
        <v>1.8211027182953217</v>
      </c>
    </row>
    <row r="253" spans="1:19" x14ac:dyDescent="0.35">
      <c r="A253">
        <v>252</v>
      </c>
      <c r="B253" t="s">
        <v>20</v>
      </c>
      <c r="C253">
        <v>127</v>
      </c>
      <c r="D253" t="s">
        <v>13</v>
      </c>
      <c r="E253">
        <v>30</v>
      </c>
      <c r="F253">
        <v>0.5</v>
      </c>
      <c r="G253">
        <v>149</v>
      </c>
      <c r="H253">
        <v>110</v>
      </c>
      <c r="I253">
        <v>115</v>
      </c>
      <c r="J253">
        <v>4</v>
      </c>
      <c r="K253" t="s">
        <v>14</v>
      </c>
      <c r="L253" t="s">
        <v>21</v>
      </c>
      <c r="M253">
        <v>3</v>
      </c>
      <c r="N253">
        <f t="shared" si="18"/>
        <v>1800</v>
      </c>
      <c r="O253">
        <f t="shared" si="19"/>
        <v>1764</v>
      </c>
      <c r="P253" s="1">
        <f t="shared" si="20"/>
        <v>15.339130434782609</v>
      </c>
      <c r="Q253" s="1">
        <f t="shared" si="21"/>
        <v>0.76471601176131554</v>
      </c>
      <c r="R253" s="1">
        <f t="shared" si="22"/>
        <v>150.53434691521497</v>
      </c>
      <c r="S253" s="1">
        <f t="shared" si="23"/>
        <v>1.534346915214968</v>
      </c>
    </row>
    <row r="254" spans="1:19" x14ac:dyDescent="0.35">
      <c r="A254">
        <v>253</v>
      </c>
      <c r="B254" t="s">
        <v>20</v>
      </c>
      <c r="C254">
        <v>127</v>
      </c>
      <c r="D254" t="s">
        <v>13</v>
      </c>
      <c r="E254">
        <v>30</v>
      </c>
      <c r="F254">
        <v>0.5</v>
      </c>
      <c r="G254">
        <v>131</v>
      </c>
      <c r="H254">
        <v>125</v>
      </c>
      <c r="I254">
        <v>101</v>
      </c>
      <c r="J254">
        <v>4</v>
      </c>
      <c r="K254" t="s">
        <v>14</v>
      </c>
      <c r="L254" t="s">
        <v>21</v>
      </c>
      <c r="M254">
        <v>3</v>
      </c>
      <c r="N254">
        <f t="shared" si="18"/>
        <v>1800</v>
      </c>
      <c r="O254">
        <f t="shared" si="19"/>
        <v>1764</v>
      </c>
      <c r="P254" s="1">
        <f t="shared" si="20"/>
        <v>17.465346534653467</v>
      </c>
      <c r="Q254" s="1">
        <f t="shared" si="21"/>
        <v>0.67162014945993787</v>
      </c>
      <c r="R254" s="1">
        <f t="shared" si="22"/>
        <v>132.20842642118876</v>
      </c>
      <c r="S254" s="1">
        <f t="shared" si="23"/>
        <v>1.2084264211887614</v>
      </c>
    </row>
    <row r="255" spans="1:19" x14ac:dyDescent="0.35">
      <c r="A255">
        <v>254</v>
      </c>
      <c r="B255" t="s">
        <v>20</v>
      </c>
      <c r="C255">
        <v>127</v>
      </c>
      <c r="D255" t="s">
        <v>13</v>
      </c>
      <c r="E255">
        <v>30</v>
      </c>
      <c r="F255">
        <v>0.5</v>
      </c>
      <c r="G255">
        <v>98</v>
      </c>
      <c r="H255">
        <v>167</v>
      </c>
      <c r="I255">
        <v>75</v>
      </c>
      <c r="J255">
        <v>4</v>
      </c>
      <c r="K255" t="s">
        <v>14</v>
      </c>
      <c r="L255" t="s">
        <v>21</v>
      </c>
      <c r="M255">
        <v>3</v>
      </c>
      <c r="N255">
        <f t="shared" si="18"/>
        <v>1800</v>
      </c>
      <c r="O255">
        <f t="shared" si="19"/>
        <v>1764</v>
      </c>
      <c r="P255" s="1">
        <f t="shared" si="20"/>
        <v>23.52</v>
      </c>
      <c r="Q255" s="1">
        <f t="shared" si="21"/>
        <v>0.49872783375737967</v>
      </c>
      <c r="R255" s="1">
        <f t="shared" si="22"/>
        <v>98.174574075140185</v>
      </c>
      <c r="S255" s="1">
        <f t="shared" si="23"/>
        <v>0.17457407514018541</v>
      </c>
    </row>
    <row r="256" spans="1:19" x14ac:dyDescent="0.35">
      <c r="A256">
        <v>255</v>
      </c>
      <c r="B256" t="s">
        <v>20</v>
      </c>
      <c r="C256">
        <v>127</v>
      </c>
      <c r="D256" t="s">
        <v>13</v>
      </c>
      <c r="E256">
        <v>30</v>
      </c>
      <c r="F256">
        <v>0.5</v>
      </c>
      <c r="G256">
        <v>83</v>
      </c>
      <c r="H256">
        <v>197</v>
      </c>
      <c r="I256">
        <v>64</v>
      </c>
      <c r="J256">
        <v>4</v>
      </c>
      <c r="K256" t="s">
        <v>14</v>
      </c>
      <c r="L256" t="s">
        <v>21</v>
      </c>
      <c r="M256">
        <v>3</v>
      </c>
      <c r="N256">
        <f t="shared" si="18"/>
        <v>1800</v>
      </c>
      <c r="O256">
        <f t="shared" si="19"/>
        <v>1764</v>
      </c>
      <c r="P256" s="1">
        <f t="shared" si="20"/>
        <v>27.5625</v>
      </c>
      <c r="Q256" s="1">
        <f t="shared" si="21"/>
        <v>0.42558108480629731</v>
      </c>
      <c r="R256" s="1">
        <f t="shared" si="22"/>
        <v>83.775636544119621</v>
      </c>
      <c r="S256" s="1">
        <f t="shared" si="23"/>
        <v>0.77563654411962091</v>
      </c>
    </row>
    <row r="257" spans="1:19" x14ac:dyDescent="0.35">
      <c r="A257">
        <v>256</v>
      </c>
      <c r="B257" t="s">
        <v>20</v>
      </c>
      <c r="C257">
        <v>127</v>
      </c>
      <c r="D257" t="s">
        <v>13</v>
      </c>
      <c r="E257">
        <v>30</v>
      </c>
      <c r="F257">
        <v>0.5</v>
      </c>
      <c r="G257">
        <v>64</v>
      </c>
      <c r="H257">
        <v>256</v>
      </c>
      <c r="I257">
        <v>49</v>
      </c>
      <c r="J257">
        <v>6</v>
      </c>
      <c r="K257" t="s">
        <v>14</v>
      </c>
      <c r="L257" t="s">
        <v>21</v>
      </c>
      <c r="M257">
        <v>3</v>
      </c>
      <c r="N257">
        <f t="shared" si="18"/>
        <v>1200</v>
      </c>
      <c r="O257">
        <f t="shared" si="19"/>
        <v>1176</v>
      </c>
      <c r="P257" s="1">
        <f t="shared" si="20"/>
        <v>24</v>
      </c>
      <c r="Q257" s="1">
        <f t="shared" si="21"/>
        <v>0.32583551805482136</v>
      </c>
      <c r="R257" s="1">
        <f t="shared" si="22"/>
        <v>64.140721729091581</v>
      </c>
      <c r="S257" s="1">
        <f t="shared" si="23"/>
        <v>0.14072172909158098</v>
      </c>
    </row>
    <row r="258" spans="1:19" x14ac:dyDescent="0.35">
      <c r="A258">
        <v>257</v>
      </c>
      <c r="B258" t="s">
        <v>20</v>
      </c>
      <c r="C258">
        <v>127</v>
      </c>
      <c r="D258" t="s">
        <v>13</v>
      </c>
      <c r="E258">
        <v>30</v>
      </c>
      <c r="F258">
        <v>0.5</v>
      </c>
      <c r="G258">
        <v>54</v>
      </c>
      <c r="H258">
        <v>303</v>
      </c>
      <c r="I258">
        <v>42</v>
      </c>
      <c r="J258">
        <v>4</v>
      </c>
      <c r="K258" t="s">
        <v>22</v>
      </c>
      <c r="L258" t="s">
        <v>21</v>
      </c>
      <c r="M258">
        <v>3</v>
      </c>
      <c r="N258">
        <f t="shared" si="18"/>
        <v>1800</v>
      </c>
      <c r="O258">
        <f t="shared" si="19"/>
        <v>1764</v>
      </c>
      <c r="P258" s="1">
        <f t="shared" si="20"/>
        <v>42</v>
      </c>
      <c r="Q258" s="1">
        <f t="shared" si="21"/>
        <v>0.27928758690413263</v>
      </c>
      <c r="R258" s="1">
        <f t="shared" si="22"/>
        <v>54.977761482078506</v>
      </c>
      <c r="S258" s="1">
        <f t="shared" si="23"/>
        <v>0.97776148207850611</v>
      </c>
    </row>
    <row r="259" spans="1:19" x14ac:dyDescent="0.35">
      <c r="A259">
        <v>258</v>
      </c>
      <c r="B259" t="s">
        <v>20</v>
      </c>
      <c r="C259">
        <v>127</v>
      </c>
      <c r="D259" t="s">
        <v>13</v>
      </c>
      <c r="E259">
        <v>30</v>
      </c>
      <c r="F259">
        <v>0.5</v>
      </c>
      <c r="G259">
        <v>41</v>
      </c>
      <c r="H259">
        <v>400</v>
      </c>
      <c r="I259">
        <v>32</v>
      </c>
      <c r="J259">
        <v>4</v>
      </c>
      <c r="K259" t="s">
        <v>22</v>
      </c>
      <c r="L259" t="s">
        <v>21</v>
      </c>
      <c r="M259">
        <v>3</v>
      </c>
      <c r="N259">
        <f t="shared" ref="N259:N322" si="24">60*60*2/J259</f>
        <v>1800</v>
      </c>
      <c r="O259">
        <f t="shared" ref="O259:O322" si="25">N259*(1-0.02)</f>
        <v>1764</v>
      </c>
      <c r="P259" s="1">
        <f t="shared" ref="P259:P322" si="26">O259/I259</f>
        <v>55.125</v>
      </c>
      <c r="Q259" s="1">
        <f t="shared" ref="Q259:Q322" si="27">(I259*2*PI()/60)*(C259/2000)</f>
        <v>0.21279054240314865</v>
      </c>
      <c r="R259" s="1">
        <f t="shared" ref="R259:R322" si="28">Q259*196.85</f>
        <v>41.88781827205981</v>
      </c>
      <c r="S259" s="1">
        <f t="shared" ref="S259:S322" si="29">R259-G259</f>
        <v>0.88781827205981045</v>
      </c>
    </row>
    <row r="260" spans="1:19" x14ac:dyDescent="0.35">
      <c r="A260">
        <v>259</v>
      </c>
      <c r="B260" t="s">
        <v>20</v>
      </c>
      <c r="C260">
        <v>127</v>
      </c>
      <c r="D260" t="s">
        <v>13</v>
      </c>
      <c r="E260">
        <v>30</v>
      </c>
      <c r="F260">
        <v>0.5</v>
      </c>
      <c r="G260">
        <v>33</v>
      </c>
      <c r="H260">
        <v>496</v>
      </c>
      <c r="I260">
        <v>25</v>
      </c>
      <c r="J260">
        <v>6</v>
      </c>
      <c r="K260" t="s">
        <v>16</v>
      </c>
      <c r="L260" t="s">
        <v>21</v>
      </c>
      <c r="M260">
        <v>3</v>
      </c>
      <c r="N260">
        <f t="shared" si="24"/>
        <v>1200</v>
      </c>
      <c r="O260">
        <f t="shared" si="25"/>
        <v>1176</v>
      </c>
      <c r="P260" s="1">
        <f t="shared" si="26"/>
        <v>47.04</v>
      </c>
      <c r="Q260" s="1">
        <f t="shared" si="27"/>
        <v>0.1662426112524599</v>
      </c>
      <c r="R260" s="1">
        <f t="shared" si="28"/>
        <v>32.724858025046728</v>
      </c>
      <c r="S260" s="1">
        <f t="shared" si="29"/>
        <v>-0.27514197495327153</v>
      </c>
    </row>
    <row r="261" spans="1:19" x14ac:dyDescent="0.35">
      <c r="A261">
        <v>260</v>
      </c>
      <c r="B261" t="s">
        <v>20</v>
      </c>
      <c r="C261">
        <v>127</v>
      </c>
      <c r="D261" t="s">
        <v>13</v>
      </c>
      <c r="E261">
        <v>30</v>
      </c>
      <c r="F261">
        <v>0.5</v>
      </c>
      <c r="G261">
        <v>26</v>
      </c>
      <c r="H261">
        <v>630</v>
      </c>
      <c r="I261">
        <v>20</v>
      </c>
      <c r="J261">
        <v>6</v>
      </c>
      <c r="K261" t="s">
        <v>16</v>
      </c>
      <c r="L261" t="s">
        <v>21</v>
      </c>
      <c r="M261">
        <v>3</v>
      </c>
      <c r="N261">
        <f t="shared" si="24"/>
        <v>1200</v>
      </c>
      <c r="O261">
        <f t="shared" si="25"/>
        <v>1176</v>
      </c>
      <c r="P261" s="1">
        <f t="shared" si="26"/>
        <v>58.8</v>
      </c>
      <c r="Q261" s="1">
        <f t="shared" si="27"/>
        <v>0.13299408900196791</v>
      </c>
      <c r="R261" s="1">
        <f t="shared" si="28"/>
        <v>26.179886420037381</v>
      </c>
      <c r="S261" s="1">
        <f t="shared" si="29"/>
        <v>0.17988642003738065</v>
      </c>
    </row>
    <row r="262" spans="1:19" x14ac:dyDescent="0.35">
      <c r="A262">
        <v>261</v>
      </c>
      <c r="B262" t="s">
        <v>20</v>
      </c>
      <c r="C262">
        <v>127</v>
      </c>
      <c r="D262" t="s">
        <v>13</v>
      </c>
      <c r="E262">
        <v>30</v>
      </c>
      <c r="F262">
        <v>0.34</v>
      </c>
      <c r="G262">
        <v>322</v>
      </c>
      <c r="H262">
        <v>35</v>
      </c>
      <c r="I262">
        <v>248</v>
      </c>
      <c r="J262">
        <v>4</v>
      </c>
      <c r="K262" t="s">
        <v>14</v>
      </c>
      <c r="L262" t="s">
        <v>21</v>
      </c>
      <c r="M262">
        <v>3</v>
      </c>
      <c r="N262">
        <f t="shared" si="24"/>
        <v>1800</v>
      </c>
      <c r="O262">
        <f t="shared" si="25"/>
        <v>1764</v>
      </c>
      <c r="P262" s="1">
        <f t="shared" si="26"/>
        <v>7.112903225806452</v>
      </c>
      <c r="Q262" s="1">
        <f t="shared" si="27"/>
        <v>1.6491267036244019</v>
      </c>
      <c r="R262" s="1">
        <f t="shared" si="28"/>
        <v>324.63059160846353</v>
      </c>
      <c r="S262" s="1">
        <f t="shared" si="29"/>
        <v>2.6305916084635328</v>
      </c>
    </row>
    <row r="263" spans="1:19" x14ac:dyDescent="0.35">
      <c r="A263">
        <v>262</v>
      </c>
      <c r="B263" t="s">
        <v>20</v>
      </c>
      <c r="C263">
        <v>127</v>
      </c>
      <c r="D263" t="s">
        <v>13</v>
      </c>
      <c r="E263">
        <v>30</v>
      </c>
      <c r="F263">
        <v>0.34</v>
      </c>
      <c r="G263">
        <v>241</v>
      </c>
      <c r="H263">
        <v>46</v>
      </c>
      <c r="I263">
        <v>185</v>
      </c>
      <c r="J263">
        <v>4</v>
      </c>
      <c r="K263" t="s">
        <v>14</v>
      </c>
      <c r="L263" t="s">
        <v>21</v>
      </c>
      <c r="M263">
        <v>3</v>
      </c>
      <c r="N263">
        <f t="shared" si="24"/>
        <v>1800</v>
      </c>
      <c r="O263">
        <f t="shared" si="25"/>
        <v>1764</v>
      </c>
      <c r="P263" s="1">
        <f t="shared" si="26"/>
        <v>9.5351351351351354</v>
      </c>
      <c r="Q263" s="1">
        <f t="shared" si="27"/>
        <v>1.2301953232682032</v>
      </c>
      <c r="R263" s="1">
        <f t="shared" si="28"/>
        <v>242.1639493853458</v>
      </c>
      <c r="S263" s="1">
        <f t="shared" si="29"/>
        <v>1.1639493853458021</v>
      </c>
    </row>
    <row r="264" spans="1:19" x14ac:dyDescent="0.35">
      <c r="A264">
        <v>263</v>
      </c>
      <c r="B264" t="s">
        <v>20</v>
      </c>
      <c r="C264">
        <v>127</v>
      </c>
      <c r="D264" t="s">
        <v>13</v>
      </c>
      <c r="E264">
        <v>30</v>
      </c>
      <c r="F264">
        <v>0.34</v>
      </c>
      <c r="G264">
        <v>205</v>
      </c>
      <c r="H264">
        <v>54</v>
      </c>
      <c r="I264">
        <v>158</v>
      </c>
      <c r="J264">
        <v>4</v>
      </c>
      <c r="K264" t="s">
        <v>14</v>
      </c>
      <c r="L264" t="s">
        <v>21</v>
      </c>
      <c r="M264">
        <v>3</v>
      </c>
      <c r="N264">
        <f t="shared" si="24"/>
        <v>1800</v>
      </c>
      <c r="O264">
        <f t="shared" si="25"/>
        <v>1764</v>
      </c>
      <c r="P264" s="1">
        <f t="shared" si="26"/>
        <v>11.164556962025317</v>
      </c>
      <c r="Q264" s="1">
        <f t="shared" si="27"/>
        <v>1.0506533031155465</v>
      </c>
      <c r="R264" s="1">
        <f t="shared" si="28"/>
        <v>206.82110271829532</v>
      </c>
      <c r="S264" s="1">
        <f t="shared" si="29"/>
        <v>1.8211027182953217</v>
      </c>
    </row>
    <row r="265" spans="1:19" x14ac:dyDescent="0.35">
      <c r="A265">
        <v>264</v>
      </c>
      <c r="B265" t="s">
        <v>20</v>
      </c>
      <c r="C265">
        <v>127</v>
      </c>
      <c r="D265" t="s">
        <v>13</v>
      </c>
      <c r="E265">
        <v>30</v>
      </c>
      <c r="F265">
        <v>0.34</v>
      </c>
      <c r="G265">
        <v>149</v>
      </c>
      <c r="H265">
        <v>75</v>
      </c>
      <c r="I265">
        <v>115</v>
      </c>
      <c r="J265">
        <v>4</v>
      </c>
      <c r="K265" t="s">
        <v>14</v>
      </c>
      <c r="L265" t="s">
        <v>21</v>
      </c>
      <c r="M265">
        <v>3</v>
      </c>
      <c r="N265">
        <f t="shared" si="24"/>
        <v>1800</v>
      </c>
      <c r="O265">
        <f t="shared" si="25"/>
        <v>1764</v>
      </c>
      <c r="P265" s="1">
        <f t="shared" si="26"/>
        <v>15.339130434782609</v>
      </c>
      <c r="Q265" s="1">
        <f t="shared" si="27"/>
        <v>0.76471601176131554</v>
      </c>
      <c r="R265" s="1">
        <f t="shared" si="28"/>
        <v>150.53434691521497</v>
      </c>
      <c r="S265" s="1">
        <f t="shared" si="29"/>
        <v>1.534346915214968</v>
      </c>
    </row>
    <row r="266" spans="1:19" x14ac:dyDescent="0.35">
      <c r="A266">
        <v>265</v>
      </c>
      <c r="B266" t="s">
        <v>20</v>
      </c>
      <c r="C266">
        <v>127</v>
      </c>
      <c r="D266" t="s">
        <v>13</v>
      </c>
      <c r="E266">
        <v>30</v>
      </c>
      <c r="F266">
        <v>0.34</v>
      </c>
      <c r="G266">
        <v>131</v>
      </c>
      <c r="H266">
        <v>85</v>
      </c>
      <c r="I266">
        <v>101</v>
      </c>
      <c r="J266">
        <v>4</v>
      </c>
      <c r="K266" t="s">
        <v>14</v>
      </c>
      <c r="L266" t="s">
        <v>21</v>
      </c>
      <c r="M266">
        <v>3</v>
      </c>
      <c r="N266">
        <f t="shared" si="24"/>
        <v>1800</v>
      </c>
      <c r="O266">
        <f t="shared" si="25"/>
        <v>1764</v>
      </c>
      <c r="P266" s="1">
        <f t="shared" si="26"/>
        <v>17.465346534653467</v>
      </c>
      <c r="Q266" s="1">
        <f t="shared" si="27"/>
        <v>0.67162014945993787</v>
      </c>
      <c r="R266" s="1">
        <f t="shared" si="28"/>
        <v>132.20842642118876</v>
      </c>
      <c r="S266" s="1">
        <f t="shared" si="29"/>
        <v>1.2084264211887614</v>
      </c>
    </row>
    <row r="267" spans="1:19" x14ac:dyDescent="0.35">
      <c r="A267">
        <v>266</v>
      </c>
      <c r="B267" t="s">
        <v>20</v>
      </c>
      <c r="C267">
        <v>127</v>
      </c>
      <c r="D267" t="s">
        <v>13</v>
      </c>
      <c r="E267">
        <v>30</v>
      </c>
      <c r="F267">
        <v>0.34</v>
      </c>
      <c r="G267">
        <v>99</v>
      </c>
      <c r="H267">
        <v>113</v>
      </c>
      <c r="I267">
        <v>76</v>
      </c>
      <c r="J267">
        <v>4</v>
      </c>
      <c r="K267" t="s">
        <v>14</v>
      </c>
      <c r="L267" t="s">
        <v>21</v>
      </c>
      <c r="M267">
        <v>3</v>
      </c>
      <c r="N267">
        <f t="shared" si="24"/>
        <v>1800</v>
      </c>
      <c r="O267">
        <f t="shared" si="25"/>
        <v>1764</v>
      </c>
      <c r="P267" s="1">
        <f t="shared" si="26"/>
        <v>23.210526315789473</v>
      </c>
      <c r="Q267" s="1">
        <f t="shared" si="27"/>
        <v>0.50537753820747799</v>
      </c>
      <c r="R267" s="1">
        <f t="shared" si="28"/>
        <v>99.483568396142047</v>
      </c>
      <c r="S267" s="1">
        <f t="shared" si="29"/>
        <v>0.48356839614204716</v>
      </c>
    </row>
    <row r="268" spans="1:19" x14ac:dyDescent="0.35">
      <c r="A268">
        <v>267</v>
      </c>
      <c r="B268" t="s">
        <v>20</v>
      </c>
      <c r="C268">
        <v>127</v>
      </c>
      <c r="D268" t="s">
        <v>13</v>
      </c>
      <c r="E268">
        <v>30</v>
      </c>
      <c r="F268">
        <v>0.34</v>
      </c>
      <c r="G268">
        <v>84</v>
      </c>
      <c r="H268">
        <v>133</v>
      </c>
      <c r="I268">
        <v>65</v>
      </c>
      <c r="J268">
        <v>4</v>
      </c>
      <c r="K268" t="s">
        <v>14</v>
      </c>
      <c r="L268" t="s">
        <v>21</v>
      </c>
      <c r="M268">
        <v>3</v>
      </c>
      <c r="N268">
        <f t="shared" si="24"/>
        <v>1800</v>
      </c>
      <c r="O268">
        <f t="shared" si="25"/>
        <v>1764</v>
      </c>
      <c r="P268" s="1">
        <f t="shared" si="26"/>
        <v>27.138461538461538</v>
      </c>
      <c r="Q268" s="1">
        <f t="shared" si="27"/>
        <v>0.43223078925639569</v>
      </c>
      <c r="R268" s="1">
        <f t="shared" si="28"/>
        <v>85.084630865121483</v>
      </c>
      <c r="S268" s="1">
        <f t="shared" si="29"/>
        <v>1.0846308651214827</v>
      </c>
    </row>
    <row r="269" spans="1:19" x14ac:dyDescent="0.35">
      <c r="A269">
        <v>268</v>
      </c>
      <c r="B269" t="s">
        <v>20</v>
      </c>
      <c r="C269">
        <v>127</v>
      </c>
      <c r="D269" t="s">
        <v>13</v>
      </c>
      <c r="E269">
        <v>30</v>
      </c>
      <c r="F269">
        <v>0.34</v>
      </c>
      <c r="G269">
        <v>61</v>
      </c>
      <c r="H269">
        <v>183</v>
      </c>
      <c r="I269">
        <v>47</v>
      </c>
      <c r="J269">
        <v>4</v>
      </c>
      <c r="K269" t="s">
        <v>22</v>
      </c>
      <c r="L269" t="s">
        <v>21</v>
      </c>
      <c r="M269">
        <v>3</v>
      </c>
      <c r="N269">
        <f t="shared" si="24"/>
        <v>1800</v>
      </c>
      <c r="O269">
        <f t="shared" si="25"/>
        <v>1764</v>
      </c>
      <c r="P269" s="1">
        <f t="shared" si="26"/>
        <v>37.531914893617021</v>
      </c>
      <c r="Q269" s="1">
        <f t="shared" si="27"/>
        <v>0.3125361091546246</v>
      </c>
      <c r="R269" s="1">
        <f t="shared" si="28"/>
        <v>61.52273308708785</v>
      </c>
      <c r="S269" s="1">
        <f t="shared" si="29"/>
        <v>0.52273308708785038</v>
      </c>
    </row>
    <row r="270" spans="1:19" x14ac:dyDescent="0.35">
      <c r="A270">
        <v>269</v>
      </c>
      <c r="B270" t="s">
        <v>20</v>
      </c>
      <c r="C270">
        <v>127</v>
      </c>
      <c r="D270" t="s">
        <v>13</v>
      </c>
      <c r="E270">
        <v>30</v>
      </c>
      <c r="F270">
        <v>0.34</v>
      </c>
      <c r="G270">
        <v>54</v>
      </c>
      <c r="H270">
        <v>206</v>
      </c>
      <c r="I270">
        <v>42</v>
      </c>
      <c r="J270">
        <v>4</v>
      </c>
      <c r="K270" t="s">
        <v>22</v>
      </c>
      <c r="L270" t="s">
        <v>21</v>
      </c>
      <c r="M270">
        <v>3</v>
      </c>
      <c r="N270">
        <f t="shared" si="24"/>
        <v>1800</v>
      </c>
      <c r="O270">
        <f t="shared" si="25"/>
        <v>1764</v>
      </c>
      <c r="P270" s="1">
        <f t="shared" si="26"/>
        <v>42</v>
      </c>
      <c r="Q270" s="1">
        <f t="shared" si="27"/>
        <v>0.27928758690413263</v>
      </c>
      <c r="R270" s="1">
        <f t="shared" si="28"/>
        <v>54.977761482078506</v>
      </c>
      <c r="S270" s="1">
        <f t="shared" si="29"/>
        <v>0.97776148207850611</v>
      </c>
    </row>
    <row r="271" spans="1:19" x14ac:dyDescent="0.35">
      <c r="A271">
        <v>270</v>
      </c>
      <c r="B271" t="s">
        <v>20</v>
      </c>
      <c r="C271">
        <v>127</v>
      </c>
      <c r="D271" t="s">
        <v>13</v>
      </c>
      <c r="E271">
        <v>30</v>
      </c>
      <c r="F271">
        <v>0.34</v>
      </c>
      <c r="G271">
        <v>41</v>
      </c>
      <c r="H271">
        <v>272</v>
      </c>
      <c r="I271">
        <v>32</v>
      </c>
      <c r="J271">
        <v>4</v>
      </c>
      <c r="K271" t="s">
        <v>22</v>
      </c>
      <c r="L271" t="s">
        <v>21</v>
      </c>
      <c r="M271">
        <v>3</v>
      </c>
      <c r="N271">
        <f t="shared" si="24"/>
        <v>1800</v>
      </c>
      <c r="O271">
        <f t="shared" si="25"/>
        <v>1764</v>
      </c>
      <c r="P271" s="1">
        <f t="shared" si="26"/>
        <v>55.125</v>
      </c>
      <c r="Q271" s="1">
        <f t="shared" si="27"/>
        <v>0.21279054240314865</v>
      </c>
      <c r="R271" s="1">
        <f t="shared" si="28"/>
        <v>41.88781827205981</v>
      </c>
      <c r="S271" s="1">
        <f t="shared" si="29"/>
        <v>0.88781827205981045</v>
      </c>
    </row>
    <row r="272" spans="1:19" x14ac:dyDescent="0.35">
      <c r="A272">
        <v>271</v>
      </c>
      <c r="B272" t="s">
        <v>20</v>
      </c>
      <c r="C272">
        <v>127</v>
      </c>
      <c r="D272" t="s">
        <v>13</v>
      </c>
      <c r="E272">
        <v>30</v>
      </c>
      <c r="F272">
        <v>0.25</v>
      </c>
      <c r="G272">
        <v>1</v>
      </c>
      <c r="H272">
        <v>738</v>
      </c>
      <c r="I272">
        <v>8</v>
      </c>
      <c r="J272">
        <v>4</v>
      </c>
      <c r="K272" t="s">
        <v>17</v>
      </c>
      <c r="L272" t="s">
        <v>21</v>
      </c>
      <c r="M272">
        <v>3</v>
      </c>
      <c r="N272">
        <f t="shared" si="24"/>
        <v>1800</v>
      </c>
      <c r="O272">
        <f t="shared" si="25"/>
        <v>1764</v>
      </c>
      <c r="P272" s="1">
        <f t="shared" si="26"/>
        <v>220.5</v>
      </c>
      <c r="Q272" s="1">
        <f t="shared" si="27"/>
        <v>5.3197635600787163E-2</v>
      </c>
      <c r="R272" s="1">
        <f t="shared" si="28"/>
        <v>10.471954568014953</v>
      </c>
      <c r="S272" s="1">
        <f t="shared" si="29"/>
        <v>9.4719545680149526</v>
      </c>
    </row>
    <row r="273" spans="1:19" x14ac:dyDescent="0.35">
      <c r="A273">
        <v>272</v>
      </c>
      <c r="B273" t="s">
        <v>20</v>
      </c>
      <c r="C273">
        <v>127</v>
      </c>
      <c r="D273" t="s">
        <v>13</v>
      </c>
      <c r="E273">
        <v>30</v>
      </c>
      <c r="F273">
        <v>0.25</v>
      </c>
      <c r="G273">
        <v>7</v>
      </c>
      <c r="H273">
        <v>767</v>
      </c>
      <c r="I273">
        <v>5</v>
      </c>
      <c r="J273">
        <v>4</v>
      </c>
      <c r="K273" t="s">
        <v>17</v>
      </c>
      <c r="L273" t="s">
        <v>21</v>
      </c>
      <c r="M273">
        <v>3</v>
      </c>
      <c r="N273">
        <f t="shared" si="24"/>
        <v>1800</v>
      </c>
      <c r="O273">
        <f t="shared" si="25"/>
        <v>1764</v>
      </c>
      <c r="P273" s="1">
        <f t="shared" si="26"/>
        <v>352.8</v>
      </c>
      <c r="Q273" s="1">
        <f t="shared" si="27"/>
        <v>3.3248522250491977E-2</v>
      </c>
      <c r="R273" s="1">
        <f t="shared" si="28"/>
        <v>6.5449716050093452</v>
      </c>
      <c r="S273" s="1">
        <f t="shared" si="29"/>
        <v>-0.45502839499065484</v>
      </c>
    </row>
    <row r="274" spans="1:19" x14ac:dyDescent="0.35">
      <c r="A274">
        <v>273</v>
      </c>
      <c r="B274" t="s">
        <v>20</v>
      </c>
      <c r="C274">
        <v>127</v>
      </c>
      <c r="D274" t="s">
        <v>13</v>
      </c>
      <c r="E274">
        <v>30</v>
      </c>
      <c r="F274">
        <v>0.25</v>
      </c>
      <c r="G274">
        <v>3</v>
      </c>
      <c r="H274">
        <v>767</v>
      </c>
      <c r="I274">
        <v>6</v>
      </c>
      <c r="J274">
        <v>4</v>
      </c>
      <c r="K274" t="s">
        <v>17</v>
      </c>
      <c r="L274" t="s">
        <v>21</v>
      </c>
      <c r="M274">
        <v>3</v>
      </c>
      <c r="N274">
        <f t="shared" si="24"/>
        <v>1800</v>
      </c>
      <c r="O274">
        <f t="shared" si="25"/>
        <v>1764</v>
      </c>
      <c r="P274" s="1">
        <f t="shared" si="26"/>
        <v>294</v>
      </c>
      <c r="Q274" s="1">
        <f t="shared" si="27"/>
        <v>3.9898226700590372E-2</v>
      </c>
      <c r="R274" s="1">
        <f t="shared" si="28"/>
        <v>7.8539659260112149</v>
      </c>
      <c r="S274" s="1">
        <f t="shared" si="29"/>
        <v>4.8539659260112149</v>
      </c>
    </row>
    <row r="275" spans="1:19" x14ac:dyDescent="0.35">
      <c r="A275">
        <v>274</v>
      </c>
      <c r="B275" t="s">
        <v>20</v>
      </c>
      <c r="C275">
        <v>127</v>
      </c>
      <c r="D275" t="s">
        <v>13</v>
      </c>
      <c r="E275">
        <v>30</v>
      </c>
      <c r="F275">
        <v>0.25</v>
      </c>
      <c r="G275">
        <v>8</v>
      </c>
      <c r="H275">
        <v>767</v>
      </c>
      <c r="I275">
        <v>7</v>
      </c>
      <c r="J275">
        <v>4</v>
      </c>
      <c r="K275" t="s">
        <v>17</v>
      </c>
      <c r="L275" t="s">
        <v>21</v>
      </c>
      <c r="M275">
        <v>3</v>
      </c>
      <c r="N275">
        <f t="shared" si="24"/>
        <v>1800</v>
      </c>
      <c r="O275">
        <f t="shared" si="25"/>
        <v>1764</v>
      </c>
      <c r="P275" s="1">
        <f t="shared" si="26"/>
        <v>252</v>
      </c>
      <c r="Q275" s="1">
        <f t="shared" si="27"/>
        <v>4.6547931150688768E-2</v>
      </c>
      <c r="R275" s="1">
        <f t="shared" si="28"/>
        <v>9.1629602470130838</v>
      </c>
      <c r="S275" s="1">
        <f t="shared" si="29"/>
        <v>1.1629602470130838</v>
      </c>
    </row>
    <row r="276" spans="1:19" x14ac:dyDescent="0.35">
      <c r="A276">
        <v>275</v>
      </c>
      <c r="B276" t="s">
        <v>23</v>
      </c>
      <c r="C276">
        <v>138</v>
      </c>
      <c r="D276" t="s">
        <v>13</v>
      </c>
      <c r="E276">
        <v>30</v>
      </c>
      <c r="F276">
        <v>1.5</v>
      </c>
      <c r="G276">
        <v>343</v>
      </c>
      <c r="H276">
        <v>156</v>
      </c>
      <c r="I276">
        <v>242</v>
      </c>
      <c r="J276">
        <v>4</v>
      </c>
      <c r="K276" t="s">
        <v>14</v>
      </c>
      <c r="L276" t="s">
        <v>24</v>
      </c>
      <c r="M276">
        <v>3</v>
      </c>
      <c r="N276">
        <f t="shared" si="24"/>
        <v>1800</v>
      </c>
      <c r="O276">
        <f t="shared" si="25"/>
        <v>1764</v>
      </c>
      <c r="P276" s="1">
        <f t="shared" si="26"/>
        <v>7.2892561983471076</v>
      </c>
      <c r="Q276" s="1">
        <f t="shared" si="27"/>
        <v>1.748610470988079</v>
      </c>
      <c r="R276" s="1">
        <f t="shared" si="28"/>
        <v>344.21397121400332</v>
      </c>
      <c r="S276" s="1">
        <f t="shared" si="29"/>
        <v>1.2139712140033225</v>
      </c>
    </row>
    <row r="277" spans="1:19" x14ac:dyDescent="0.35">
      <c r="A277">
        <v>276</v>
      </c>
      <c r="B277" t="s">
        <v>23</v>
      </c>
      <c r="C277">
        <v>138</v>
      </c>
      <c r="D277" t="s">
        <v>13</v>
      </c>
      <c r="E277">
        <v>30</v>
      </c>
      <c r="F277">
        <v>1.5</v>
      </c>
      <c r="G277">
        <v>258</v>
      </c>
      <c r="H277">
        <v>208</v>
      </c>
      <c r="I277">
        <v>181</v>
      </c>
      <c r="J277">
        <v>4</v>
      </c>
      <c r="K277" t="s">
        <v>14</v>
      </c>
      <c r="L277" t="s">
        <v>24</v>
      </c>
      <c r="M277">
        <v>3</v>
      </c>
      <c r="N277">
        <f t="shared" si="24"/>
        <v>1800</v>
      </c>
      <c r="O277">
        <f t="shared" si="25"/>
        <v>1764</v>
      </c>
      <c r="P277" s="1">
        <f t="shared" si="26"/>
        <v>9.7458563535911598</v>
      </c>
      <c r="Q277" s="1">
        <f t="shared" si="27"/>
        <v>1.3078450216894311</v>
      </c>
      <c r="R277" s="1">
        <f t="shared" si="28"/>
        <v>257.44929251956449</v>
      </c>
      <c r="S277" s="1">
        <f t="shared" si="29"/>
        <v>-0.55070748043550566</v>
      </c>
    </row>
    <row r="278" spans="1:19" x14ac:dyDescent="0.35">
      <c r="A278">
        <v>277</v>
      </c>
      <c r="B278" t="s">
        <v>23</v>
      </c>
      <c r="C278">
        <v>138</v>
      </c>
      <c r="D278" t="s">
        <v>13</v>
      </c>
      <c r="E278">
        <v>30</v>
      </c>
      <c r="F278">
        <v>1.5</v>
      </c>
      <c r="G278">
        <v>218</v>
      </c>
      <c r="H278">
        <v>246</v>
      </c>
      <c r="I278">
        <v>154</v>
      </c>
      <c r="J278">
        <v>4</v>
      </c>
      <c r="K278" t="s">
        <v>14</v>
      </c>
      <c r="L278" t="s">
        <v>24</v>
      </c>
      <c r="M278">
        <v>3</v>
      </c>
      <c r="N278">
        <f t="shared" si="24"/>
        <v>1800</v>
      </c>
      <c r="O278">
        <f t="shared" si="25"/>
        <v>1764</v>
      </c>
      <c r="P278" s="1">
        <f t="shared" si="26"/>
        <v>11.454545454545455</v>
      </c>
      <c r="Q278" s="1">
        <f t="shared" si="27"/>
        <v>1.1127521179015047</v>
      </c>
      <c r="R278" s="1">
        <f t="shared" si="28"/>
        <v>219.04525440891121</v>
      </c>
      <c r="S278" s="1">
        <f t="shared" si="29"/>
        <v>1.0452544089112052</v>
      </c>
    </row>
    <row r="279" spans="1:19" x14ac:dyDescent="0.35">
      <c r="A279">
        <v>278</v>
      </c>
      <c r="B279" t="s">
        <v>23</v>
      </c>
      <c r="C279">
        <v>138</v>
      </c>
      <c r="D279" t="s">
        <v>13</v>
      </c>
      <c r="E279">
        <v>30</v>
      </c>
      <c r="F279">
        <v>1.5</v>
      </c>
      <c r="G279">
        <v>135</v>
      </c>
      <c r="H279">
        <v>398</v>
      </c>
      <c r="I279">
        <v>95</v>
      </c>
      <c r="J279">
        <v>4</v>
      </c>
      <c r="K279" t="s">
        <v>14</v>
      </c>
      <c r="L279" t="s">
        <v>24</v>
      </c>
      <c r="M279">
        <v>3</v>
      </c>
      <c r="N279">
        <f t="shared" si="24"/>
        <v>1800</v>
      </c>
      <c r="O279">
        <f t="shared" si="25"/>
        <v>1764</v>
      </c>
      <c r="P279" s="1">
        <f t="shared" si="26"/>
        <v>18.568421052631578</v>
      </c>
      <c r="Q279" s="1">
        <f t="shared" si="27"/>
        <v>0.68643799480936996</v>
      </c>
      <c r="R279" s="1">
        <f t="shared" si="28"/>
        <v>135.12531927822448</v>
      </c>
      <c r="S279" s="1">
        <f t="shared" si="29"/>
        <v>0.12531927822448097</v>
      </c>
    </row>
    <row r="280" spans="1:19" x14ac:dyDescent="0.35">
      <c r="A280">
        <v>279</v>
      </c>
      <c r="B280" t="s">
        <v>23</v>
      </c>
      <c r="C280">
        <v>138</v>
      </c>
      <c r="D280" t="s">
        <v>13</v>
      </c>
      <c r="E280">
        <v>30</v>
      </c>
      <c r="F280">
        <v>1</v>
      </c>
      <c r="G280">
        <v>702</v>
      </c>
      <c r="H280">
        <v>51</v>
      </c>
      <c r="I280">
        <v>494</v>
      </c>
      <c r="J280">
        <v>2</v>
      </c>
      <c r="K280" t="s">
        <v>14</v>
      </c>
      <c r="L280" t="s">
        <v>24</v>
      </c>
      <c r="M280">
        <v>3</v>
      </c>
      <c r="N280">
        <f t="shared" si="24"/>
        <v>3600</v>
      </c>
      <c r="O280">
        <f t="shared" si="25"/>
        <v>3528</v>
      </c>
      <c r="P280" s="1">
        <f t="shared" si="26"/>
        <v>7.1417004048582999</v>
      </c>
      <c r="Q280" s="1">
        <f t="shared" si="27"/>
        <v>3.5694775730087231</v>
      </c>
      <c r="R280" s="1">
        <f t="shared" si="28"/>
        <v>702.65166024676716</v>
      </c>
      <c r="S280" s="1">
        <f t="shared" si="29"/>
        <v>0.65166024676716461</v>
      </c>
    </row>
    <row r="281" spans="1:19" x14ac:dyDescent="0.35">
      <c r="A281">
        <v>280</v>
      </c>
      <c r="B281" t="s">
        <v>23</v>
      </c>
      <c r="C281">
        <v>138</v>
      </c>
      <c r="D281" t="s">
        <v>13</v>
      </c>
      <c r="E281">
        <v>30</v>
      </c>
      <c r="F281">
        <v>1</v>
      </c>
      <c r="G281">
        <v>526</v>
      </c>
      <c r="H281">
        <v>68</v>
      </c>
      <c r="I281">
        <v>370</v>
      </c>
      <c r="J281">
        <v>2</v>
      </c>
      <c r="K281" t="s">
        <v>14</v>
      </c>
      <c r="L281" t="s">
        <v>24</v>
      </c>
      <c r="M281">
        <v>3</v>
      </c>
      <c r="N281">
        <f t="shared" si="24"/>
        <v>3600</v>
      </c>
      <c r="O281">
        <f t="shared" si="25"/>
        <v>3528</v>
      </c>
      <c r="P281" s="1">
        <f t="shared" si="26"/>
        <v>9.5351351351351354</v>
      </c>
      <c r="Q281" s="1">
        <f t="shared" si="27"/>
        <v>2.6734953482049142</v>
      </c>
      <c r="R281" s="1">
        <f t="shared" si="28"/>
        <v>526.27755929413729</v>
      </c>
      <c r="S281" s="1">
        <f t="shared" si="29"/>
        <v>0.27755929413729064</v>
      </c>
    </row>
    <row r="282" spans="1:19" x14ac:dyDescent="0.35">
      <c r="A282">
        <v>281</v>
      </c>
      <c r="B282" t="s">
        <v>23</v>
      </c>
      <c r="C282">
        <v>138</v>
      </c>
      <c r="D282" t="s">
        <v>13</v>
      </c>
      <c r="E282">
        <v>30</v>
      </c>
      <c r="F282">
        <v>1</v>
      </c>
      <c r="G282">
        <v>447</v>
      </c>
      <c r="H282">
        <v>80</v>
      </c>
      <c r="I282">
        <v>315</v>
      </c>
      <c r="J282">
        <v>2</v>
      </c>
      <c r="K282" t="s">
        <v>14</v>
      </c>
      <c r="L282" t="s">
        <v>24</v>
      </c>
      <c r="M282">
        <v>3</v>
      </c>
      <c r="N282">
        <f t="shared" si="24"/>
        <v>3600</v>
      </c>
      <c r="O282">
        <f t="shared" si="25"/>
        <v>3528</v>
      </c>
      <c r="P282" s="1">
        <f t="shared" si="26"/>
        <v>11.2</v>
      </c>
      <c r="Q282" s="1">
        <f t="shared" si="27"/>
        <v>2.2760838775258052</v>
      </c>
      <c r="R282" s="1">
        <f t="shared" si="28"/>
        <v>448.04711129095472</v>
      </c>
      <c r="S282" s="1">
        <f t="shared" si="29"/>
        <v>1.0471112909547173</v>
      </c>
    </row>
    <row r="283" spans="1:19" x14ac:dyDescent="0.35">
      <c r="A283">
        <v>282</v>
      </c>
      <c r="B283" t="s">
        <v>23</v>
      </c>
      <c r="C283">
        <v>138</v>
      </c>
      <c r="D283" t="s">
        <v>13</v>
      </c>
      <c r="E283">
        <v>30</v>
      </c>
      <c r="F283">
        <v>1</v>
      </c>
      <c r="G283">
        <v>343</v>
      </c>
      <c r="H283">
        <v>104</v>
      </c>
      <c r="I283">
        <v>242</v>
      </c>
      <c r="J283">
        <v>4</v>
      </c>
      <c r="K283" t="s">
        <v>14</v>
      </c>
      <c r="L283" t="s">
        <v>24</v>
      </c>
      <c r="M283">
        <v>3</v>
      </c>
      <c r="N283">
        <f t="shared" si="24"/>
        <v>1800</v>
      </c>
      <c r="O283">
        <f t="shared" si="25"/>
        <v>1764</v>
      </c>
      <c r="P283" s="1">
        <f t="shared" si="26"/>
        <v>7.2892561983471076</v>
      </c>
      <c r="Q283" s="1">
        <f t="shared" si="27"/>
        <v>1.748610470988079</v>
      </c>
      <c r="R283" s="1">
        <f t="shared" si="28"/>
        <v>344.21397121400332</v>
      </c>
      <c r="S283" s="1">
        <f t="shared" si="29"/>
        <v>1.2139712140033225</v>
      </c>
    </row>
    <row r="284" spans="1:19" x14ac:dyDescent="0.35">
      <c r="A284">
        <v>283</v>
      </c>
      <c r="B284" t="s">
        <v>23</v>
      </c>
      <c r="C284">
        <v>138</v>
      </c>
      <c r="D284" t="s">
        <v>13</v>
      </c>
      <c r="E284">
        <v>30</v>
      </c>
      <c r="F284">
        <v>1</v>
      </c>
      <c r="G284">
        <v>258</v>
      </c>
      <c r="H284">
        <v>139</v>
      </c>
      <c r="I284">
        <v>181</v>
      </c>
      <c r="J284">
        <v>4</v>
      </c>
      <c r="K284" t="s">
        <v>14</v>
      </c>
      <c r="L284" t="s">
        <v>24</v>
      </c>
      <c r="M284">
        <v>3</v>
      </c>
      <c r="N284">
        <f t="shared" si="24"/>
        <v>1800</v>
      </c>
      <c r="O284">
        <f t="shared" si="25"/>
        <v>1764</v>
      </c>
      <c r="P284" s="1">
        <f t="shared" si="26"/>
        <v>9.7458563535911598</v>
      </c>
      <c r="Q284" s="1">
        <f t="shared" si="27"/>
        <v>1.3078450216894311</v>
      </c>
      <c r="R284" s="1">
        <f t="shared" si="28"/>
        <v>257.44929251956449</v>
      </c>
      <c r="S284" s="1">
        <f t="shared" si="29"/>
        <v>-0.55070748043550566</v>
      </c>
    </row>
    <row r="285" spans="1:19" x14ac:dyDescent="0.35">
      <c r="A285">
        <v>284</v>
      </c>
      <c r="B285" t="s">
        <v>23</v>
      </c>
      <c r="C285">
        <v>138</v>
      </c>
      <c r="D285" t="s">
        <v>13</v>
      </c>
      <c r="E285">
        <v>30</v>
      </c>
      <c r="F285">
        <v>1</v>
      </c>
      <c r="G285">
        <v>218</v>
      </c>
      <c r="H285">
        <v>164</v>
      </c>
      <c r="I285">
        <v>154</v>
      </c>
      <c r="J285">
        <v>4</v>
      </c>
      <c r="K285" t="s">
        <v>14</v>
      </c>
      <c r="L285" t="s">
        <v>24</v>
      </c>
      <c r="M285">
        <v>3</v>
      </c>
      <c r="N285">
        <f t="shared" si="24"/>
        <v>1800</v>
      </c>
      <c r="O285">
        <f t="shared" si="25"/>
        <v>1764</v>
      </c>
      <c r="P285" s="1">
        <f t="shared" si="26"/>
        <v>11.454545454545455</v>
      </c>
      <c r="Q285" s="1">
        <f t="shared" si="27"/>
        <v>1.1127521179015047</v>
      </c>
      <c r="R285" s="1">
        <f t="shared" si="28"/>
        <v>219.04525440891121</v>
      </c>
      <c r="S285" s="1">
        <f t="shared" si="29"/>
        <v>1.0452544089112052</v>
      </c>
    </row>
    <row r="286" spans="1:19" x14ac:dyDescent="0.35">
      <c r="A286">
        <v>285</v>
      </c>
      <c r="B286" t="s">
        <v>23</v>
      </c>
      <c r="C286">
        <v>138</v>
      </c>
      <c r="D286" t="s">
        <v>13</v>
      </c>
      <c r="E286">
        <v>30</v>
      </c>
      <c r="F286">
        <v>1</v>
      </c>
      <c r="G286">
        <v>160</v>
      </c>
      <c r="H286">
        <v>224</v>
      </c>
      <c r="I286">
        <v>112</v>
      </c>
      <c r="J286">
        <v>4</v>
      </c>
      <c r="K286" t="s">
        <v>14</v>
      </c>
      <c r="L286" t="s">
        <v>24</v>
      </c>
      <c r="M286">
        <v>3</v>
      </c>
      <c r="N286">
        <f t="shared" si="24"/>
        <v>1800</v>
      </c>
      <c r="O286">
        <f t="shared" si="25"/>
        <v>1764</v>
      </c>
      <c r="P286" s="1">
        <f t="shared" si="26"/>
        <v>15.75</v>
      </c>
      <c r="Q286" s="1">
        <f t="shared" si="27"/>
        <v>0.80927426756473086</v>
      </c>
      <c r="R286" s="1">
        <f t="shared" si="28"/>
        <v>159.30563957011728</v>
      </c>
      <c r="S286" s="1">
        <f t="shared" si="29"/>
        <v>-0.69436042988272106</v>
      </c>
    </row>
    <row r="287" spans="1:19" x14ac:dyDescent="0.35">
      <c r="A287">
        <v>286</v>
      </c>
      <c r="B287" t="s">
        <v>23</v>
      </c>
      <c r="C287">
        <v>138</v>
      </c>
      <c r="D287" t="s">
        <v>13</v>
      </c>
      <c r="E287">
        <v>30</v>
      </c>
      <c r="F287">
        <v>1</v>
      </c>
      <c r="G287">
        <v>135</v>
      </c>
      <c r="H287">
        <v>266</v>
      </c>
      <c r="I287">
        <v>95</v>
      </c>
      <c r="J287">
        <v>4</v>
      </c>
      <c r="K287" t="s">
        <v>14</v>
      </c>
      <c r="L287" t="s">
        <v>24</v>
      </c>
      <c r="M287">
        <v>3</v>
      </c>
      <c r="N287">
        <f t="shared" si="24"/>
        <v>1800</v>
      </c>
      <c r="O287">
        <f t="shared" si="25"/>
        <v>1764</v>
      </c>
      <c r="P287" s="1">
        <f t="shared" si="26"/>
        <v>18.568421052631578</v>
      </c>
      <c r="Q287" s="1">
        <f t="shared" si="27"/>
        <v>0.68643799480936996</v>
      </c>
      <c r="R287" s="1">
        <f t="shared" si="28"/>
        <v>135.12531927822448</v>
      </c>
      <c r="S287" s="1">
        <f t="shared" si="29"/>
        <v>0.12531927822448097</v>
      </c>
    </row>
    <row r="288" spans="1:19" x14ac:dyDescent="0.35">
      <c r="A288">
        <v>287</v>
      </c>
      <c r="B288" t="s">
        <v>23</v>
      </c>
      <c r="C288">
        <v>138</v>
      </c>
      <c r="D288" t="s">
        <v>13</v>
      </c>
      <c r="E288">
        <v>30</v>
      </c>
      <c r="F288">
        <v>1</v>
      </c>
      <c r="G288">
        <v>120</v>
      </c>
      <c r="H288">
        <v>299</v>
      </c>
      <c r="I288">
        <v>84</v>
      </c>
      <c r="J288">
        <v>4</v>
      </c>
      <c r="K288" t="s">
        <v>14</v>
      </c>
      <c r="L288" t="s">
        <v>24</v>
      </c>
      <c r="M288">
        <v>3</v>
      </c>
      <c r="N288">
        <f t="shared" si="24"/>
        <v>1800</v>
      </c>
      <c r="O288">
        <f t="shared" si="25"/>
        <v>1764</v>
      </c>
      <c r="P288" s="1">
        <f t="shared" si="26"/>
        <v>21</v>
      </c>
      <c r="Q288" s="1">
        <f t="shared" si="27"/>
        <v>0.60695570067354809</v>
      </c>
      <c r="R288" s="1">
        <f t="shared" si="28"/>
        <v>119.47922967758794</v>
      </c>
      <c r="S288" s="1">
        <f t="shared" si="29"/>
        <v>-0.52077032241206211</v>
      </c>
    </row>
    <row r="289" spans="1:19" x14ac:dyDescent="0.35">
      <c r="A289">
        <v>288</v>
      </c>
      <c r="B289" t="s">
        <v>23</v>
      </c>
      <c r="C289">
        <v>138</v>
      </c>
      <c r="D289" t="s">
        <v>13</v>
      </c>
      <c r="E289">
        <v>30</v>
      </c>
      <c r="F289">
        <v>1</v>
      </c>
      <c r="G289">
        <v>79</v>
      </c>
      <c r="H289">
        <v>451</v>
      </c>
      <c r="I289">
        <v>56</v>
      </c>
      <c r="J289">
        <v>4</v>
      </c>
      <c r="K289" t="s">
        <v>16</v>
      </c>
      <c r="L289" t="s">
        <v>24</v>
      </c>
      <c r="M289">
        <v>3</v>
      </c>
      <c r="N289">
        <f t="shared" si="24"/>
        <v>1800</v>
      </c>
      <c r="O289">
        <f t="shared" si="25"/>
        <v>1764</v>
      </c>
      <c r="P289" s="1">
        <f t="shared" si="26"/>
        <v>31.5</v>
      </c>
      <c r="Q289" s="1">
        <f t="shared" si="27"/>
        <v>0.40463713378236543</v>
      </c>
      <c r="R289" s="1">
        <f t="shared" si="28"/>
        <v>79.652819785058639</v>
      </c>
      <c r="S289" s="1">
        <f t="shared" si="29"/>
        <v>0.65281978505863947</v>
      </c>
    </row>
    <row r="290" spans="1:19" x14ac:dyDescent="0.35">
      <c r="A290">
        <v>289</v>
      </c>
      <c r="B290" t="s">
        <v>23</v>
      </c>
      <c r="C290">
        <v>138</v>
      </c>
      <c r="D290" t="s">
        <v>13</v>
      </c>
      <c r="E290">
        <v>30</v>
      </c>
      <c r="F290">
        <v>1</v>
      </c>
      <c r="G290">
        <v>63</v>
      </c>
      <c r="H290">
        <v>568</v>
      </c>
      <c r="I290">
        <v>44</v>
      </c>
      <c r="J290">
        <v>4</v>
      </c>
      <c r="K290" t="s">
        <v>16</v>
      </c>
      <c r="L290" t="s">
        <v>24</v>
      </c>
      <c r="M290">
        <v>3</v>
      </c>
      <c r="N290">
        <f t="shared" si="24"/>
        <v>1800</v>
      </c>
      <c r="O290">
        <f t="shared" si="25"/>
        <v>1764</v>
      </c>
      <c r="P290" s="1">
        <f t="shared" si="26"/>
        <v>40.090909090909093</v>
      </c>
      <c r="Q290" s="1">
        <f t="shared" si="27"/>
        <v>0.31792917654328706</v>
      </c>
      <c r="R290" s="1">
        <f t="shared" si="28"/>
        <v>62.584358402546059</v>
      </c>
      <c r="S290" s="1">
        <f t="shared" si="29"/>
        <v>-0.41564159745394136</v>
      </c>
    </row>
    <row r="291" spans="1:19" x14ac:dyDescent="0.35">
      <c r="A291">
        <v>290</v>
      </c>
      <c r="B291" t="s">
        <v>23</v>
      </c>
      <c r="C291">
        <v>138</v>
      </c>
      <c r="D291" t="s">
        <v>13</v>
      </c>
      <c r="E291">
        <v>30</v>
      </c>
      <c r="F291">
        <v>1</v>
      </c>
      <c r="G291">
        <v>53</v>
      </c>
      <c r="H291">
        <v>672</v>
      </c>
      <c r="I291">
        <v>37</v>
      </c>
      <c r="J291">
        <v>4</v>
      </c>
      <c r="K291" t="s">
        <v>16</v>
      </c>
      <c r="L291" t="s">
        <v>24</v>
      </c>
      <c r="M291">
        <v>3</v>
      </c>
      <c r="N291">
        <f t="shared" si="24"/>
        <v>1800</v>
      </c>
      <c r="O291">
        <f t="shared" si="25"/>
        <v>1764</v>
      </c>
      <c r="P291" s="1">
        <f t="shared" si="26"/>
        <v>47.675675675675677</v>
      </c>
      <c r="Q291" s="1">
        <f t="shared" si="27"/>
        <v>0.26734953482049145</v>
      </c>
      <c r="R291" s="1">
        <f t="shared" si="28"/>
        <v>52.627755929413738</v>
      </c>
      <c r="S291" s="1">
        <f t="shared" si="29"/>
        <v>-0.37224407058626241</v>
      </c>
    </row>
    <row r="292" spans="1:19" x14ac:dyDescent="0.35">
      <c r="A292">
        <v>291</v>
      </c>
      <c r="B292" t="s">
        <v>23</v>
      </c>
      <c r="C292">
        <v>138</v>
      </c>
      <c r="D292" t="s">
        <v>13</v>
      </c>
      <c r="E292">
        <v>30</v>
      </c>
      <c r="F292">
        <v>1</v>
      </c>
      <c r="G292">
        <v>41</v>
      </c>
      <c r="H292">
        <v>767</v>
      </c>
      <c r="I292">
        <v>29</v>
      </c>
      <c r="J292">
        <v>4</v>
      </c>
      <c r="K292" t="s">
        <v>16</v>
      </c>
      <c r="L292" t="s">
        <v>24</v>
      </c>
      <c r="M292">
        <v>3</v>
      </c>
      <c r="N292">
        <f t="shared" si="24"/>
        <v>1800</v>
      </c>
      <c r="O292">
        <f t="shared" si="25"/>
        <v>1764</v>
      </c>
      <c r="P292" s="1">
        <f t="shared" si="26"/>
        <v>60.827586206896555</v>
      </c>
      <c r="Q292" s="1">
        <f t="shared" si="27"/>
        <v>0.20954422999443925</v>
      </c>
      <c r="R292" s="1">
        <f t="shared" si="28"/>
        <v>41.248781674405365</v>
      </c>
      <c r="S292" s="1">
        <f t="shared" si="29"/>
        <v>0.24878167440536458</v>
      </c>
    </row>
    <row r="293" spans="1:19" x14ac:dyDescent="0.35">
      <c r="A293">
        <v>292</v>
      </c>
      <c r="B293" t="s">
        <v>23</v>
      </c>
      <c r="C293">
        <v>138</v>
      </c>
      <c r="D293" t="s">
        <v>13</v>
      </c>
      <c r="E293">
        <v>30</v>
      </c>
      <c r="F293">
        <v>0.75</v>
      </c>
      <c r="G293">
        <v>707</v>
      </c>
      <c r="H293">
        <v>38</v>
      </c>
      <c r="I293">
        <v>501</v>
      </c>
      <c r="J293">
        <v>2</v>
      </c>
      <c r="K293" t="s">
        <v>14</v>
      </c>
      <c r="L293" t="s">
        <v>24</v>
      </c>
      <c r="M293">
        <v>3</v>
      </c>
      <c r="N293">
        <f t="shared" si="24"/>
        <v>3600</v>
      </c>
      <c r="O293">
        <f t="shared" si="25"/>
        <v>3528</v>
      </c>
      <c r="P293" s="1">
        <f t="shared" si="26"/>
        <v>7.0419161676646711</v>
      </c>
      <c r="Q293" s="1">
        <f t="shared" si="27"/>
        <v>3.6200572147315189</v>
      </c>
      <c r="R293" s="1">
        <f t="shared" si="28"/>
        <v>712.60826271989947</v>
      </c>
      <c r="S293" s="1">
        <f t="shared" si="29"/>
        <v>5.6082627198994714</v>
      </c>
    </row>
    <row r="294" spans="1:19" x14ac:dyDescent="0.35">
      <c r="A294">
        <v>293</v>
      </c>
      <c r="B294" t="s">
        <v>23</v>
      </c>
      <c r="C294">
        <v>138</v>
      </c>
      <c r="D294" t="s">
        <v>13</v>
      </c>
      <c r="E294">
        <v>30</v>
      </c>
      <c r="F294">
        <v>0.75</v>
      </c>
      <c r="G294">
        <v>530</v>
      </c>
      <c r="H294">
        <v>50</v>
      </c>
      <c r="I294">
        <v>375</v>
      </c>
      <c r="J294">
        <v>2</v>
      </c>
      <c r="K294" t="s">
        <v>14</v>
      </c>
      <c r="L294" t="s">
        <v>24</v>
      </c>
      <c r="M294">
        <v>3</v>
      </c>
      <c r="N294">
        <f t="shared" si="24"/>
        <v>3600</v>
      </c>
      <c r="O294">
        <f t="shared" si="25"/>
        <v>3528</v>
      </c>
      <c r="P294" s="1">
        <f t="shared" si="26"/>
        <v>9.4079999999999995</v>
      </c>
      <c r="Q294" s="1">
        <f t="shared" si="27"/>
        <v>2.7096236637211968</v>
      </c>
      <c r="R294" s="1">
        <f t="shared" si="28"/>
        <v>533.38941820351761</v>
      </c>
      <c r="S294" s="1">
        <f t="shared" si="29"/>
        <v>3.3894182035176073</v>
      </c>
    </row>
    <row r="295" spans="1:19" x14ac:dyDescent="0.35">
      <c r="A295">
        <v>294</v>
      </c>
      <c r="B295" t="s">
        <v>23</v>
      </c>
      <c r="C295">
        <v>138</v>
      </c>
      <c r="D295" t="s">
        <v>13</v>
      </c>
      <c r="E295">
        <v>30</v>
      </c>
      <c r="F295">
        <v>0.75</v>
      </c>
      <c r="G295">
        <v>450</v>
      </c>
      <c r="H295">
        <v>59</v>
      </c>
      <c r="I295">
        <v>318</v>
      </c>
      <c r="J295">
        <v>2</v>
      </c>
      <c r="K295" t="s">
        <v>14</v>
      </c>
      <c r="L295" t="s">
        <v>24</v>
      </c>
      <c r="M295">
        <v>3</v>
      </c>
      <c r="N295">
        <f t="shared" si="24"/>
        <v>3600</v>
      </c>
      <c r="O295">
        <f t="shared" si="25"/>
        <v>3528</v>
      </c>
      <c r="P295" s="1">
        <f t="shared" si="26"/>
        <v>11.09433962264151</v>
      </c>
      <c r="Q295" s="1">
        <f t="shared" si="27"/>
        <v>2.2977608668355751</v>
      </c>
      <c r="R295" s="1">
        <f t="shared" si="28"/>
        <v>452.31422663658293</v>
      </c>
      <c r="S295" s="1">
        <f t="shared" si="29"/>
        <v>2.31422663658293</v>
      </c>
    </row>
    <row r="296" spans="1:19" x14ac:dyDescent="0.35">
      <c r="A296">
        <v>295</v>
      </c>
      <c r="B296" t="s">
        <v>23</v>
      </c>
      <c r="C296">
        <v>138</v>
      </c>
      <c r="D296" t="s">
        <v>13</v>
      </c>
      <c r="E296">
        <v>30</v>
      </c>
      <c r="F296">
        <v>0.75</v>
      </c>
      <c r="G296">
        <v>356</v>
      </c>
      <c r="H296">
        <v>75</v>
      </c>
      <c r="I296">
        <v>252</v>
      </c>
      <c r="J296">
        <v>4</v>
      </c>
      <c r="K296" t="s">
        <v>14</v>
      </c>
      <c r="L296" t="s">
        <v>24</v>
      </c>
      <c r="M296">
        <v>3</v>
      </c>
      <c r="N296">
        <f t="shared" si="24"/>
        <v>1800</v>
      </c>
      <c r="O296">
        <f t="shared" si="25"/>
        <v>1764</v>
      </c>
      <c r="P296" s="1">
        <f t="shared" si="26"/>
        <v>7</v>
      </c>
      <c r="Q296" s="1">
        <f t="shared" si="27"/>
        <v>1.8208671020206442</v>
      </c>
      <c r="R296" s="1">
        <f t="shared" si="28"/>
        <v>358.43768903276379</v>
      </c>
      <c r="S296" s="1">
        <f t="shared" si="29"/>
        <v>2.4376890327637852</v>
      </c>
    </row>
    <row r="297" spans="1:19" x14ac:dyDescent="0.35">
      <c r="A297">
        <v>296</v>
      </c>
      <c r="B297" t="s">
        <v>23</v>
      </c>
      <c r="C297">
        <v>138</v>
      </c>
      <c r="D297" t="s">
        <v>13</v>
      </c>
      <c r="E297">
        <v>30</v>
      </c>
      <c r="F297">
        <v>0.75</v>
      </c>
      <c r="G297">
        <v>267</v>
      </c>
      <c r="H297">
        <v>100</v>
      </c>
      <c r="I297">
        <v>189</v>
      </c>
      <c r="J297">
        <v>4</v>
      </c>
      <c r="K297" t="s">
        <v>14</v>
      </c>
      <c r="L297" t="s">
        <v>24</v>
      </c>
      <c r="M297">
        <v>3</v>
      </c>
      <c r="N297">
        <f t="shared" si="24"/>
        <v>1800</v>
      </c>
      <c r="O297">
        <f t="shared" si="25"/>
        <v>1764</v>
      </c>
      <c r="P297" s="1">
        <f t="shared" si="26"/>
        <v>9.3333333333333339</v>
      </c>
      <c r="Q297" s="1">
        <f t="shared" si="27"/>
        <v>1.3656503265154833</v>
      </c>
      <c r="R297" s="1">
        <f t="shared" si="28"/>
        <v>268.82826677457291</v>
      </c>
      <c r="S297" s="1">
        <f t="shared" si="29"/>
        <v>1.82826677457291</v>
      </c>
    </row>
    <row r="298" spans="1:19" x14ac:dyDescent="0.35">
      <c r="A298">
        <v>297</v>
      </c>
      <c r="B298" t="s">
        <v>23</v>
      </c>
      <c r="C298">
        <v>138</v>
      </c>
      <c r="D298" t="s">
        <v>13</v>
      </c>
      <c r="E298">
        <v>30</v>
      </c>
      <c r="F298">
        <v>0.75</v>
      </c>
      <c r="G298">
        <v>227</v>
      </c>
      <c r="H298">
        <v>118</v>
      </c>
      <c r="I298">
        <v>161</v>
      </c>
      <c r="J298">
        <v>4</v>
      </c>
      <c r="K298" t="s">
        <v>14</v>
      </c>
      <c r="L298" t="s">
        <v>24</v>
      </c>
      <c r="M298">
        <v>3</v>
      </c>
      <c r="N298">
        <f t="shared" si="24"/>
        <v>1800</v>
      </c>
      <c r="O298">
        <f t="shared" si="25"/>
        <v>1764</v>
      </c>
      <c r="P298" s="1">
        <f t="shared" si="26"/>
        <v>10.956521739130435</v>
      </c>
      <c r="Q298" s="1">
        <f t="shared" si="27"/>
        <v>1.1633317596243005</v>
      </c>
      <c r="R298" s="1">
        <f t="shared" si="28"/>
        <v>229.00185688204354</v>
      </c>
      <c r="S298" s="1">
        <f t="shared" si="29"/>
        <v>2.0018568820435405</v>
      </c>
    </row>
    <row r="299" spans="1:19" x14ac:dyDescent="0.35">
      <c r="A299">
        <v>298</v>
      </c>
      <c r="B299" t="s">
        <v>23</v>
      </c>
      <c r="C299">
        <v>138</v>
      </c>
      <c r="D299" t="s">
        <v>13</v>
      </c>
      <c r="E299">
        <v>30</v>
      </c>
      <c r="F299">
        <v>0.75</v>
      </c>
      <c r="G299">
        <v>165</v>
      </c>
      <c r="H299">
        <v>162</v>
      </c>
      <c r="I299">
        <v>117</v>
      </c>
      <c r="J299">
        <v>4</v>
      </c>
      <c r="K299" t="s">
        <v>14</v>
      </c>
      <c r="L299" t="s">
        <v>24</v>
      </c>
      <c r="M299">
        <v>3</v>
      </c>
      <c r="N299">
        <f t="shared" si="24"/>
        <v>1800</v>
      </c>
      <c r="O299">
        <f t="shared" si="25"/>
        <v>1764</v>
      </c>
      <c r="P299" s="1">
        <f t="shared" si="26"/>
        <v>15.076923076923077</v>
      </c>
      <c r="Q299" s="1">
        <f t="shared" si="27"/>
        <v>0.84540258308101335</v>
      </c>
      <c r="R299" s="1">
        <f t="shared" si="28"/>
        <v>166.41749847949748</v>
      </c>
      <c r="S299" s="1">
        <f t="shared" si="29"/>
        <v>1.4174984794974819</v>
      </c>
    </row>
    <row r="300" spans="1:19" x14ac:dyDescent="0.35">
      <c r="A300">
        <v>299</v>
      </c>
      <c r="B300" t="s">
        <v>23</v>
      </c>
      <c r="C300">
        <v>138</v>
      </c>
      <c r="D300" t="s">
        <v>13</v>
      </c>
      <c r="E300">
        <v>30</v>
      </c>
      <c r="F300">
        <v>0.75</v>
      </c>
      <c r="G300">
        <v>146</v>
      </c>
      <c r="H300">
        <v>183</v>
      </c>
      <c r="I300">
        <v>103</v>
      </c>
      <c r="J300">
        <v>4</v>
      </c>
      <c r="K300" t="s">
        <v>22</v>
      </c>
      <c r="L300" t="s">
        <v>24</v>
      </c>
      <c r="M300">
        <v>3</v>
      </c>
      <c r="N300">
        <f t="shared" si="24"/>
        <v>1800</v>
      </c>
      <c r="O300">
        <f t="shared" si="25"/>
        <v>1764</v>
      </c>
      <c r="P300" s="1">
        <f t="shared" si="26"/>
        <v>17.126213592233011</v>
      </c>
      <c r="Q300" s="1">
        <f t="shared" si="27"/>
        <v>0.74424329963542202</v>
      </c>
      <c r="R300" s="1">
        <f t="shared" si="28"/>
        <v>146.50429353323281</v>
      </c>
      <c r="S300" s="1">
        <f t="shared" si="29"/>
        <v>0.50429353323281134</v>
      </c>
    </row>
    <row r="301" spans="1:19" x14ac:dyDescent="0.35">
      <c r="A301">
        <v>300</v>
      </c>
      <c r="B301" t="s">
        <v>23</v>
      </c>
      <c r="C301">
        <v>138</v>
      </c>
      <c r="D301" t="s">
        <v>13</v>
      </c>
      <c r="E301">
        <v>30</v>
      </c>
      <c r="F301">
        <v>0.75</v>
      </c>
      <c r="G301">
        <v>124</v>
      </c>
      <c r="H301">
        <v>216</v>
      </c>
      <c r="I301">
        <v>88</v>
      </c>
      <c r="J301">
        <v>4</v>
      </c>
      <c r="K301" t="s">
        <v>14</v>
      </c>
      <c r="L301" t="s">
        <v>24</v>
      </c>
      <c r="M301">
        <v>3</v>
      </c>
      <c r="N301">
        <f t="shared" si="24"/>
        <v>1800</v>
      </c>
      <c r="O301">
        <f t="shared" si="25"/>
        <v>1764</v>
      </c>
      <c r="P301" s="1">
        <f t="shared" si="26"/>
        <v>20.045454545454547</v>
      </c>
      <c r="Q301" s="1">
        <f t="shared" si="27"/>
        <v>0.63585835308657412</v>
      </c>
      <c r="R301" s="1">
        <f t="shared" si="28"/>
        <v>125.16871680509212</v>
      </c>
      <c r="S301" s="1">
        <f t="shared" si="29"/>
        <v>1.1687168050921173</v>
      </c>
    </row>
    <row r="302" spans="1:19" x14ac:dyDescent="0.35">
      <c r="A302">
        <v>301</v>
      </c>
      <c r="B302" t="s">
        <v>23</v>
      </c>
      <c r="C302">
        <v>138</v>
      </c>
      <c r="D302" t="s">
        <v>13</v>
      </c>
      <c r="E302">
        <v>30</v>
      </c>
      <c r="F302">
        <v>0.75</v>
      </c>
      <c r="G302">
        <v>105</v>
      </c>
      <c r="H302">
        <v>253</v>
      </c>
      <c r="I302">
        <v>75</v>
      </c>
      <c r="J302">
        <v>4</v>
      </c>
      <c r="K302" t="s">
        <v>14</v>
      </c>
      <c r="L302" t="s">
        <v>24</v>
      </c>
      <c r="M302">
        <v>3</v>
      </c>
      <c r="N302">
        <f t="shared" si="24"/>
        <v>1800</v>
      </c>
      <c r="O302">
        <f t="shared" si="25"/>
        <v>1764</v>
      </c>
      <c r="P302" s="1">
        <f t="shared" si="26"/>
        <v>23.52</v>
      </c>
      <c r="Q302" s="1">
        <f t="shared" si="27"/>
        <v>0.54192473274423936</v>
      </c>
      <c r="R302" s="1">
        <f t="shared" si="28"/>
        <v>106.67788364070351</v>
      </c>
      <c r="S302" s="1">
        <f t="shared" si="29"/>
        <v>1.6778836407035129</v>
      </c>
    </row>
    <row r="303" spans="1:19" x14ac:dyDescent="0.35">
      <c r="A303">
        <v>302</v>
      </c>
      <c r="B303" t="s">
        <v>23</v>
      </c>
      <c r="C303">
        <v>138</v>
      </c>
      <c r="D303" t="s">
        <v>13</v>
      </c>
      <c r="E303">
        <v>30</v>
      </c>
      <c r="F303">
        <v>0.75</v>
      </c>
      <c r="G303">
        <v>95</v>
      </c>
      <c r="H303">
        <v>282</v>
      </c>
      <c r="I303">
        <v>67</v>
      </c>
      <c r="J303">
        <v>6</v>
      </c>
      <c r="K303" t="s">
        <v>14</v>
      </c>
      <c r="L303" t="s">
        <v>24</v>
      </c>
      <c r="M303">
        <v>3</v>
      </c>
      <c r="N303">
        <f t="shared" si="24"/>
        <v>1200</v>
      </c>
      <c r="O303">
        <f t="shared" si="25"/>
        <v>1176</v>
      </c>
      <c r="P303" s="1">
        <f t="shared" si="26"/>
        <v>17.552238805970148</v>
      </c>
      <c r="Q303" s="1">
        <f t="shared" si="27"/>
        <v>0.48411942791818713</v>
      </c>
      <c r="R303" s="1">
        <f t="shared" si="28"/>
        <v>95.29890938569514</v>
      </c>
      <c r="S303" s="1">
        <f t="shared" si="29"/>
        <v>0.29890938569513992</v>
      </c>
    </row>
    <row r="304" spans="1:19" x14ac:dyDescent="0.35">
      <c r="A304">
        <v>303</v>
      </c>
      <c r="B304" t="s">
        <v>23</v>
      </c>
      <c r="C304">
        <v>138</v>
      </c>
      <c r="D304" t="s">
        <v>13</v>
      </c>
      <c r="E304">
        <v>30</v>
      </c>
      <c r="F304">
        <v>0.75</v>
      </c>
      <c r="G304">
        <v>80</v>
      </c>
      <c r="H304">
        <v>332</v>
      </c>
      <c r="I304">
        <v>57</v>
      </c>
      <c r="J304">
        <v>6</v>
      </c>
      <c r="K304" t="s">
        <v>14</v>
      </c>
      <c r="L304" t="s">
        <v>24</v>
      </c>
      <c r="M304">
        <v>3</v>
      </c>
      <c r="N304">
        <f t="shared" si="24"/>
        <v>1200</v>
      </c>
      <c r="O304">
        <f t="shared" si="25"/>
        <v>1176</v>
      </c>
      <c r="P304" s="1">
        <f t="shared" si="26"/>
        <v>20.631578947368421</v>
      </c>
      <c r="Q304" s="1">
        <f t="shared" si="27"/>
        <v>0.41186279688562188</v>
      </c>
      <c r="R304" s="1">
        <f t="shared" si="28"/>
        <v>81.075191566934663</v>
      </c>
      <c r="S304" s="1">
        <f t="shared" si="29"/>
        <v>1.075191566934663</v>
      </c>
    </row>
    <row r="305" spans="1:19" x14ac:dyDescent="0.35">
      <c r="A305">
        <v>304</v>
      </c>
      <c r="B305" t="s">
        <v>23</v>
      </c>
      <c r="C305">
        <v>138</v>
      </c>
      <c r="D305" t="s">
        <v>13</v>
      </c>
      <c r="E305">
        <v>30</v>
      </c>
      <c r="F305">
        <v>0.75</v>
      </c>
      <c r="G305">
        <v>67</v>
      </c>
      <c r="H305">
        <v>366</v>
      </c>
      <c r="I305">
        <v>48</v>
      </c>
      <c r="J305">
        <v>4</v>
      </c>
      <c r="K305" t="s">
        <v>22</v>
      </c>
      <c r="L305" t="s">
        <v>24</v>
      </c>
      <c r="M305">
        <v>3</v>
      </c>
      <c r="N305">
        <f t="shared" si="24"/>
        <v>1800</v>
      </c>
      <c r="O305">
        <f t="shared" si="25"/>
        <v>1764</v>
      </c>
      <c r="P305" s="1">
        <f t="shared" si="26"/>
        <v>36.75</v>
      </c>
      <c r="Q305" s="1">
        <f t="shared" si="27"/>
        <v>0.3468318289563132</v>
      </c>
      <c r="R305" s="1">
        <f t="shared" si="28"/>
        <v>68.273845530050252</v>
      </c>
      <c r="S305" s="1">
        <f t="shared" si="29"/>
        <v>1.2738455300502523</v>
      </c>
    </row>
    <row r="306" spans="1:19" x14ac:dyDescent="0.35">
      <c r="A306">
        <v>305</v>
      </c>
      <c r="B306" t="s">
        <v>23</v>
      </c>
      <c r="C306">
        <v>138</v>
      </c>
      <c r="D306" t="s">
        <v>13</v>
      </c>
      <c r="E306">
        <v>30</v>
      </c>
      <c r="F306">
        <v>0.75</v>
      </c>
      <c r="G306">
        <v>61</v>
      </c>
      <c r="H306">
        <v>408</v>
      </c>
      <c r="I306">
        <v>43</v>
      </c>
      <c r="J306">
        <v>4</v>
      </c>
      <c r="K306" t="s">
        <v>22</v>
      </c>
      <c r="L306" t="s">
        <v>24</v>
      </c>
      <c r="M306">
        <v>3</v>
      </c>
      <c r="N306">
        <f t="shared" si="24"/>
        <v>1800</v>
      </c>
      <c r="O306">
        <f t="shared" si="25"/>
        <v>1764</v>
      </c>
      <c r="P306" s="1">
        <f t="shared" si="26"/>
        <v>41.02325581395349</v>
      </c>
      <c r="Q306" s="1">
        <f t="shared" si="27"/>
        <v>0.31070351344003055</v>
      </c>
      <c r="R306" s="1">
        <f t="shared" si="28"/>
        <v>61.161986620670014</v>
      </c>
      <c r="S306" s="1">
        <f t="shared" si="29"/>
        <v>0.16198662067001379</v>
      </c>
    </row>
    <row r="307" spans="1:19" x14ac:dyDescent="0.35">
      <c r="A307">
        <v>306</v>
      </c>
      <c r="B307" t="s">
        <v>23</v>
      </c>
      <c r="C307">
        <v>138</v>
      </c>
      <c r="D307" t="s">
        <v>13</v>
      </c>
      <c r="E307">
        <v>30</v>
      </c>
      <c r="F307">
        <v>0.75</v>
      </c>
      <c r="G307">
        <v>54</v>
      </c>
      <c r="H307">
        <v>491</v>
      </c>
      <c r="I307">
        <v>38</v>
      </c>
      <c r="J307">
        <v>4</v>
      </c>
      <c r="K307" t="s">
        <v>16</v>
      </c>
      <c r="L307" t="s">
        <v>24</v>
      </c>
      <c r="M307">
        <v>3</v>
      </c>
      <c r="N307">
        <f t="shared" si="24"/>
        <v>1800</v>
      </c>
      <c r="O307">
        <f t="shared" si="25"/>
        <v>1764</v>
      </c>
      <c r="P307" s="1">
        <f t="shared" si="26"/>
        <v>46.421052631578945</v>
      </c>
      <c r="Q307" s="1">
        <f t="shared" si="27"/>
        <v>0.2745751979237479</v>
      </c>
      <c r="R307" s="1">
        <f t="shared" si="28"/>
        <v>54.050127711289775</v>
      </c>
      <c r="S307" s="1">
        <f t="shared" si="29"/>
        <v>5.0127711289775334E-2</v>
      </c>
    </row>
    <row r="308" spans="1:19" x14ac:dyDescent="0.35">
      <c r="A308">
        <v>307</v>
      </c>
      <c r="B308" t="s">
        <v>23</v>
      </c>
      <c r="C308">
        <v>138</v>
      </c>
      <c r="D308" t="s">
        <v>13</v>
      </c>
      <c r="E308">
        <v>30</v>
      </c>
      <c r="F308">
        <v>0.75</v>
      </c>
      <c r="G308">
        <v>43</v>
      </c>
      <c r="H308">
        <v>617</v>
      </c>
      <c r="I308">
        <v>31</v>
      </c>
      <c r="J308">
        <v>4</v>
      </c>
      <c r="K308" t="s">
        <v>16</v>
      </c>
      <c r="L308" t="s">
        <v>24</v>
      </c>
      <c r="M308">
        <v>3</v>
      </c>
      <c r="N308">
        <f t="shared" si="24"/>
        <v>1800</v>
      </c>
      <c r="O308">
        <f t="shared" si="25"/>
        <v>1764</v>
      </c>
      <c r="P308" s="1">
        <f t="shared" si="26"/>
        <v>56.903225806451616</v>
      </c>
      <c r="Q308" s="1">
        <f t="shared" si="27"/>
        <v>0.22399555620095224</v>
      </c>
      <c r="R308" s="1">
        <f t="shared" si="28"/>
        <v>44.093525238157447</v>
      </c>
      <c r="S308" s="1">
        <f t="shared" si="29"/>
        <v>1.0935252381574472</v>
      </c>
    </row>
    <row r="309" spans="1:19" x14ac:dyDescent="0.35">
      <c r="A309">
        <v>308</v>
      </c>
      <c r="B309" t="s">
        <v>23</v>
      </c>
      <c r="C309">
        <v>138</v>
      </c>
      <c r="D309" t="s">
        <v>13</v>
      </c>
      <c r="E309">
        <v>30</v>
      </c>
      <c r="F309">
        <v>0.5</v>
      </c>
      <c r="G309">
        <v>349</v>
      </c>
      <c r="H309">
        <v>51</v>
      </c>
      <c r="I309">
        <v>246</v>
      </c>
      <c r="J309">
        <v>4</v>
      </c>
      <c r="K309" t="s">
        <v>14</v>
      </c>
      <c r="L309" t="s">
        <v>24</v>
      </c>
      <c r="M309">
        <v>3</v>
      </c>
      <c r="N309">
        <f t="shared" si="24"/>
        <v>1800</v>
      </c>
      <c r="O309">
        <f t="shared" si="25"/>
        <v>1764</v>
      </c>
      <c r="P309" s="1">
        <f t="shared" si="26"/>
        <v>7.1707317073170733</v>
      </c>
      <c r="Q309" s="1">
        <f t="shared" si="27"/>
        <v>1.777513123401105</v>
      </c>
      <c r="R309" s="1">
        <f t="shared" si="28"/>
        <v>349.90345834150753</v>
      </c>
      <c r="S309" s="1">
        <f t="shared" si="29"/>
        <v>0.90345834150753035</v>
      </c>
    </row>
    <row r="310" spans="1:19" x14ac:dyDescent="0.35">
      <c r="A310">
        <v>309</v>
      </c>
      <c r="B310" t="s">
        <v>23</v>
      </c>
      <c r="C310">
        <v>138</v>
      </c>
      <c r="D310" t="s">
        <v>13</v>
      </c>
      <c r="E310">
        <v>30</v>
      </c>
      <c r="F310">
        <v>0.5</v>
      </c>
      <c r="G310">
        <v>262</v>
      </c>
      <c r="H310">
        <v>68</v>
      </c>
      <c r="I310">
        <v>184</v>
      </c>
      <c r="J310">
        <v>4</v>
      </c>
      <c r="K310" t="s">
        <v>14</v>
      </c>
      <c r="L310" t="s">
        <v>24</v>
      </c>
      <c r="M310">
        <v>3</v>
      </c>
      <c r="N310">
        <f t="shared" si="24"/>
        <v>1800</v>
      </c>
      <c r="O310">
        <f t="shared" si="25"/>
        <v>1764</v>
      </c>
      <c r="P310" s="1">
        <f t="shared" si="26"/>
        <v>9.5869565217391308</v>
      </c>
      <c r="Q310" s="1">
        <f t="shared" si="27"/>
        <v>1.3295220109992005</v>
      </c>
      <c r="R310" s="1">
        <f t="shared" si="28"/>
        <v>261.71640786519259</v>
      </c>
      <c r="S310" s="1">
        <f t="shared" si="29"/>
        <v>-0.28359213480740664</v>
      </c>
    </row>
    <row r="311" spans="1:19" x14ac:dyDescent="0.35">
      <c r="A311">
        <v>310</v>
      </c>
      <c r="B311" t="s">
        <v>23</v>
      </c>
      <c r="C311">
        <v>138</v>
      </c>
      <c r="D311" t="s">
        <v>13</v>
      </c>
      <c r="E311">
        <v>30</v>
      </c>
      <c r="F311">
        <v>0.5</v>
      </c>
      <c r="G311">
        <v>223</v>
      </c>
      <c r="H311">
        <v>80</v>
      </c>
      <c r="I311">
        <v>157</v>
      </c>
      <c r="J311">
        <v>4</v>
      </c>
      <c r="K311" t="s">
        <v>14</v>
      </c>
      <c r="L311" t="s">
        <v>24</v>
      </c>
      <c r="M311">
        <v>3</v>
      </c>
      <c r="N311">
        <f t="shared" si="24"/>
        <v>1800</v>
      </c>
      <c r="O311">
        <f t="shared" si="25"/>
        <v>1764</v>
      </c>
      <c r="P311" s="1">
        <f t="shared" si="26"/>
        <v>11.235668789808917</v>
      </c>
      <c r="Q311" s="1">
        <f t="shared" si="27"/>
        <v>1.1344291072112744</v>
      </c>
      <c r="R311" s="1">
        <f t="shared" si="28"/>
        <v>223.31236975453936</v>
      </c>
      <c r="S311" s="1">
        <f t="shared" si="29"/>
        <v>0.31236975453936111</v>
      </c>
    </row>
    <row r="312" spans="1:19" x14ac:dyDescent="0.35">
      <c r="A312">
        <v>311</v>
      </c>
      <c r="B312" t="s">
        <v>23</v>
      </c>
      <c r="C312">
        <v>138</v>
      </c>
      <c r="D312" t="s">
        <v>13</v>
      </c>
      <c r="E312">
        <v>30</v>
      </c>
      <c r="F312">
        <v>0.5</v>
      </c>
      <c r="G312">
        <v>162</v>
      </c>
      <c r="H312">
        <v>111</v>
      </c>
      <c r="I312">
        <v>114</v>
      </c>
      <c r="J312">
        <v>4</v>
      </c>
      <c r="K312" t="s">
        <v>14</v>
      </c>
      <c r="L312" t="s">
        <v>24</v>
      </c>
      <c r="M312">
        <v>3</v>
      </c>
      <c r="N312">
        <f t="shared" si="24"/>
        <v>1800</v>
      </c>
      <c r="O312">
        <f t="shared" si="25"/>
        <v>1764</v>
      </c>
      <c r="P312" s="1">
        <f t="shared" si="26"/>
        <v>15.473684210526315</v>
      </c>
      <c r="Q312" s="1">
        <f t="shared" si="27"/>
        <v>0.82372559377124377</v>
      </c>
      <c r="R312" s="1">
        <f t="shared" si="28"/>
        <v>162.15038313386933</v>
      </c>
      <c r="S312" s="1">
        <f t="shared" si="29"/>
        <v>0.150383133869326</v>
      </c>
    </row>
    <row r="313" spans="1:19" x14ac:dyDescent="0.35">
      <c r="A313">
        <v>312</v>
      </c>
      <c r="B313" t="s">
        <v>23</v>
      </c>
      <c r="C313">
        <v>138</v>
      </c>
      <c r="D313" t="s">
        <v>13</v>
      </c>
      <c r="E313">
        <v>30</v>
      </c>
      <c r="F313">
        <v>0.5</v>
      </c>
      <c r="G313">
        <v>142</v>
      </c>
      <c r="H313">
        <v>126</v>
      </c>
      <c r="I313">
        <v>100</v>
      </c>
      <c r="J313">
        <v>4</v>
      </c>
      <c r="K313" t="s">
        <v>14</v>
      </c>
      <c r="L313" t="s">
        <v>24</v>
      </c>
      <c r="M313">
        <v>3</v>
      </c>
      <c r="N313">
        <f t="shared" si="24"/>
        <v>1800</v>
      </c>
      <c r="O313">
        <f t="shared" si="25"/>
        <v>1764</v>
      </c>
      <c r="P313" s="1">
        <f t="shared" si="26"/>
        <v>17.64</v>
      </c>
      <c r="Q313" s="1">
        <f t="shared" si="27"/>
        <v>0.72256631032565255</v>
      </c>
      <c r="R313" s="1">
        <f t="shared" si="28"/>
        <v>142.23717818760471</v>
      </c>
      <c r="S313" s="1">
        <f t="shared" si="29"/>
        <v>0.23717818760471232</v>
      </c>
    </row>
    <row r="314" spans="1:19" x14ac:dyDescent="0.35">
      <c r="A314">
        <v>313</v>
      </c>
      <c r="B314" t="s">
        <v>23</v>
      </c>
      <c r="C314">
        <v>138</v>
      </c>
      <c r="D314" t="s">
        <v>13</v>
      </c>
      <c r="E314">
        <v>30</v>
      </c>
      <c r="F314">
        <v>0.5</v>
      </c>
      <c r="G314">
        <v>106</v>
      </c>
      <c r="H314">
        <v>168</v>
      </c>
      <c r="I314">
        <v>75</v>
      </c>
      <c r="J314">
        <v>4</v>
      </c>
      <c r="K314" t="s">
        <v>14</v>
      </c>
      <c r="L314" t="s">
        <v>24</v>
      </c>
      <c r="M314">
        <v>3</v>
      </c>
      <c r="N314">
        <f t="shared" si="24"/>
        <v>1800</v>
      </c>
      <c r="O314">
        <f t="shared" si="25"/>
        <v>1764</v>
      </c>
      <c r="P314" s="1">
        <f t="shared" si="26"/>
        <v>23.52</v>
      </c>
      <c r="Q314" s="1">
        <f t="shared" si="27"/>
        <v>0.54192473274423936</v>
      </c>
      <c r="R314" s="1">
        <f t="shared" si="28"/>
        <v>106.67788364070351</v>
      </c>
      <c r="S314" s="1">
        <f t="shared" si="29"/>
        <v>0.67788364070351292</v>
      </c>
    </row>
    <row r="315" spans="1:19" x14ac:dyDescent="0.35">
      <c r="A315">
        <v>314</v>
      </c>
      <c r="B315" t="s">
        <v>23</v>
      </c>
      <c r="C315">
        <v>138</v>
      </c>
      <c r="D315" t="s">
        <v>13</v>
      </c>
      <c r="E315">
        <v>30</v>
      </c>
      <c r="F315">
        <v>0.5</v>
      </c>
      <c r="G315">
        <v>90</v>
      </c>
      <c r="H315">
        <v>198</v>
      </c>
      <c r="I315">
        <v>64</v>
      </c>
      <c r="J315">
        <v>4</v>
      </c>
      <c r="K315" t="s">
        <v>14</v>
      </c>
      <c r="L315" t="s">
        <v>24</v>
      </c>
      <c r="M315">
        <v>3</v>
      </c>
      <c r="N315">
        <f t="shared" si="24"/>
        <v>1800</v>
      </c>
      <c r="O315">
        <f t="shared" si="25"/>
        <v>1764</v>
      </c>
      <c r="P315" s="1">
        <f t="shared" si="26"/>
        <v>27.5625</v>
      </c>
      <c r="Q315" s="1">
        <f t="shared" si="27"/>
        <v>0.46244243860841755</v>
      </c>
      <c r="R315" s="1">
        <f t="shared" si="28"/>
        <v>91.031794040066998</v>
      </c>
      <c r="S315" s="1">
        <f t="shared" si="29"/>
        <v>1.0317940400669983</v>
      </c>
    </row>
    <row r="316" spans="1:19" x14ac:dyDescent="0.35">
      <c r="A316">
        <v>315</v>
      </c>
      <c r="B316" t="s">
        <v>23</v>
      </c>
      <c r="C316">
        <v>138</v>
      </c>
      <c r="D316" t="s">
        <v>13</v>
      </c>
      <c r="E316">
        <v>30</v>
      </c>
      <c r="F316">
        <v>0.5</v>
      </c>
      <c r="G316">
        <v>70</v>
      </c>
      <c r="H316">
        <v>257</v>
      </c>
      <c r="I316">
        <v>49</v>
      </c>
      <c r="J316">
        <v>6</v>
      </c>
      <c r="K316" t="s">
        <v>14</v>
      </c>
      <c r="L316" t="s">
        <v>24</v>
      </c>
      <c r="M316">
        <v>3</v>
      </c>
      <c r="N316">
        <f t="shared" si="24"/>
        <v>1200</v>
      </c>
      <c r="O316">
        <f t="shared" si="25"/>
        <v>1176</v>
      </c>
      <c r="P316" s="1">
        <f t="shared" si="26"/>
        <v>24</v>
      </c>
      <c r="Q316" s="1">
        <f t="shared" si="27"/>
        <v>0.35405749205956971</v>
      </c>
      <c r="R316" s="1">
        <f t="shared" si="28"/>
        <v>69.69621731192629</v>
      </c>
      <c r="S316" s="1">
        <f t="shared" si="29"/>
        <v>-0.30378268807371001</v>
      </c>
    </row>
    <row r="317" spans="1:19" x14ac:dyDescent="0.35">
      <c r="A317">
        <v>316</v>
      </c>
      <c r="B317" t="s">
        <v>23</v>
      </c>
      <c r="C317">
        <v>138</v>
      </c>
      <c r="D317" t="s">
        <v>13</v>
      </c>
      <c r="E317">
        <v>30</v>
      </c>
      <c r="F317">
        <v>0.5</v>
      </c>
      <c r="G317">
        <v>59</v>
      </c>
      <c r="H317">
        <v>305</v>
      </c>
      <c r="I317">
        <v>41</v>
      </c>
      <c r="J317">
        <v>4</v>
      </c>
      <c r="K317" t="s">
        <v>22</v>
      </c>
      <c r="L317" t="s">
        <v>24</v>
      </c>
      <c r="M317">
        <v>3</v>
      </c>
      <c r="N317">
        <f t="shared" si="24"/>
        <v>1800</v>
      </c>
      <c r="O317">
        <f t="shared" si="25"/>
        <v>1764</v>
      </c>
      <c r="P317" s="1">
        <f t="shared" si="26"/>
        <v>43.024390243902438</v>
      </c>
      <c r="Q317" s="1">
        <f t="shared" si="27"/>
        <v>0.29625218723351748</v>
      </c>
      <c r="R317" s="1">
        <f t="shared" si="28"/>
        <v>58.317243056917917</v>
      </c>
      <c r="S317" s="1">
        <f t="shared" si="29"/>
        <v>-0.68275694308208301</v>
      </c>
    </row>
    <row r="318" spans="1:19" x14ac:dyDescent="0.35">
      <c r="A318">
        <v>317</v>
      </c>
      <c r="B318" t="s">
        <v>23</v>
      </c>
      <c r="C318">
        <v>138</v>
      </c>
      <c r="D318" t="s">
        <v>13</v>
      </c>
      <c r="E318">
        <v>30</v>
      </c>
      <c r="F318">
        <v>0.5</v>
      </c>
      <c r="G318">
        <v>45</v>
      </c>
      <c r="H318">
        <v>402</v>
      </c>
      <c r="I318">
        <v>31</v>
      </c>
      <c r="J318">
        <v>4</v>
      </c>
      <c r="K318" t="s">
        <v>22</v>
      </c>
      <c r="L318" t="s">
        <v>24</v>
      </c>
      <c r="M318">
        <v>3</v>
      </c>
      <c r="N318">
        <f t="shared" si="24"/>
        <v>1800</v>
      </c>
      <c r="O318">
        <f t="shared" si="25"/>
        <v>1764</v>
      </c>
      <c r="P318" s="1">
        <f t="shared" si="26"/>
        <v>56.903225806451616</v>
      </c>
      <c r="Q318" s="1">
        <f t="shared" si="27"/>
        <v>0.22399555620095224</v>
      </c>
      <c r="R318" s="1">
        <f t="shared" si="28"/>
        <v>44.093525238157447</v>
      </c>
      <c r="S318" s="1">
        <f t="shared" si="29"/>
        <v>-0.90647476184255282</v>
      </c>
    </row>
    <row r="319" spans="1:19" x14ac:dyDescent="0.35">
      <c r="A319">
        <v>318</v>
      </c>
      <c r="B319" t="s">
        <v>23</v>
      </c>
      <c r="C319">
        <v>138</v>
      </c>
      <c r="D319" t="s">
        <v>13</v>
      </c>
      <c r="E319">
        <v>30</v>
      </c>
      <c r="F319">
        <v>0.5</v>
      </c>
      <c r="G319">
        <v>36</v>
      </c>
      <c r="H319">
        <v>499</v>
      </c>
      <c r="I319">
        <v>25</v>
      </c>
      <c r="J319">
        <v>6</v>
      </c>
      <c r="K319" t="s">
        <v>16</v>
      </c>
      <c r="L319" t="s">
        <v>24</v>
      </c>
      <c r="M319">
        <v>3</v>
      </c>
      <c r="N319">
        <f t="shared" si="24"/>
        <v>1200</v>
      </c>
      <c r="O319">
        <f t="shared" si="25"/>
        <v>1176</v>
      </c>
      <c r="P319" s="1">
        <f t="shared" si="26"/>
        <v>47.04</v>
      </c>
      <c r="Q319" s="1">
        <f t="shared" si="27"/>
        <v>0.18064157758141314</v>
      </c>
      <c r="R319" s="1">
        <f t="shared" si="28"/>
        <v>35.559294546901178</v>
      </c>
      <c r="S319" s="1">
        <f t="shared" si="29"/>
        <v>-0.44070545309882192</v>
      </c>
    </row>
    <row r="320" spans="1:19" x14ac:dyDescent="0.35">
      <c r="A320">
        <v>319</v>
      </c>
      <c r="B320" t="s">
        <v>23</v>
      </c>
      <c r="C320">
        <v>138</v>
      </c>
      <c r="D320" t="s">
        <v>13</v>
      </c>
      <c r="E320">
        <v>30</v>
      </c>
      <c r="F320">
        <v>0.5</v>
      </c>
      <c r="G320">
        <v>28</v>
      </c>
      <c r="H320">
        <v>633</v>
      </c>
      <c r="I320">
        <v>20</v>
      </c>
      <c r="J320">
        <v>6</v>
      </c>
      <c r="K320" t="s">
        <v>16</v>
      </c>
      <c r="L320" t="s">
        <v>24</v>
      </c>
      <c r="M320">
        <v>3</v>
      </c>
      <c r="N320">
        <f t="shared" si="24"/>
        <v>1200</v>
      </c>
      <c r="O320">
        <f t="shared" si="25"/>
        <v>1176</v>
      </c>
      <c r="P320" s="1">
        <f t="shared" si="26"/>
        <v>58.8</v>
      </c>
      <c r="Q320" s="1">
        <f t="shared" si="27"/>
        <v>0.14451326206513049</v>
      </c>
      <c r="R320" s="1">
        <f t="shared" si="28"/>
        <v>28.447435637520936</v>
      </c>
      <c r="S320" s="1">
        <f t="shared" si="29"/>
        <v>0.44743563752093607</v>
      </c>
    </row>
    <row r="321" spans="1:19" x14ac:dyDescent="0.35">
      <c r="A321">
        <v>320</v>
      </c>
      <c r="B321" t="s">
        <v>23</v>
      </c>
      <c r="C321">
        <v>138</v>
      </c>
      <c r="D321" t="s">
        <v>13</v>
      </c>
      <c r="E321">
        <v>30</v>
      </c>
      <c r="F321">
        <v>0.34</v>
      </c>
      <c r="G321">
        <v>350</v>
      </c>
      <c r="H321">
        <v>35</v>
      </c>
      <c r="I321">
        <v>246</v>
      </c>
      <c r="J321">
        <v>4</v>
      </c>
      <c r="K321" t="s">
        <v>14</v>
      </c>
      <c r="L321" t="s">
        <v>24</v>
      </c>
      <c r="M321">
        <v>3</v>
      </c>
      <c r="N321">
        <f t="shared" si="24"/>
        <v>1800</v>
      </c>
      <c r="O321">
        <f t="shared" si="25"/>
        <v>1764</v>
      </c>
      <c r="P321" s="1">
        <f t="shared" si="26"/>
        <v>7.1707317073170733</v>
      </c>
      <c r="Q321" s="1">
        <f t="shared" si="27"/>
        <v>1.777513123401105</v>
      </c>
      <c r="R321" s="1">
        <f t="shared" si="28"/>
        <v>349.90345834150753</v>
      </c>
      <c r="S321" s="1">
        <f t="shared" si="29"/>
        <v>-9.6541658492469651E-2</v>
      </c>
    </row>
    <row r="322" spans="1:19" x14ac:dyDescent="0.35">
      <c r="A322">
        <v>321</v>
      </c>
      <c r="B322" t="s">
        <v>23</v>
      </c>
      <c r="C322">
        <v>138</v>
      </c>
      <c r="D322" t="s">
        <v>13</v>
      </c>
      <c r="E322">
        <v>30</v>
      </c>
      <c r="F322">
        <v>0.34</v>
      </c>
      <c r="G322">
        <v>262</v>
      </c>
      <c r="H322">
        <v>46</v>
      </c>
      <c r="I322">
        <v>184</v>
      </c>
      <c r="J322">
        <v>4</v>
      </c>
      <c r="K322" t="s">
        <v>14</v>
      </c>
      <c r="L322" t="s">
        <v>24</v>
      </c>
      <c r="M322">
        <v>3</v>
      </c>
      <c r="N322">
        <f t="shared" si="24"/>
        <v>1800</v>
      </c>
      <c r="O322">
        <f t="shared" si="25"/>
        <v>1764</v>
      </c>
      <c r="P322" s="1">
        <f t="shared" si="26"/>
        <v>9.5869565217391308</v>
      </c>
      <c r="Q322" s="1">
        <f t="shared" si="27"/>
        <v>1.3295220109992005</v>
      </c>
      <c r="R322" s="1">
        <f t="shared" si="28"/>
        <v>261.71640786519259</v>
      </c>
      <c r="S322" s="1">
        <f t="shared" si="29"/>
        <v>-0.28359213480740664</v>
      </c>
    </row>
    <row r="323" spans="1:19" x14ac:dyDescent="0.35">
      <c r="A323">
        <v>322</v>
      </c>
      <c r="B323" t="s">
        <v>23</v>
      </c>
      <c r="C323">
        <v>138</v>
      </c>
      <c r="D323" t="s">
        <v>13</v>
      </c>
      <c r="E323">
        <v>30</v>
      </c>
      <c r="F323">
        <v>0.34</v>
      </c>
      <c r="G323">
        <v>223</v>
      </c>
      <c r="H323">
        <v>55</v>
      </c>
      <c r="I323">
        <v>157</v>
      </c>
      <c r="J323">
        <v>4</v>
      </c>
      <c r="K323" t="s">
        <v>14</v>
      </c>
      <c r="L323" t="s">
        <v>24</v>
      </c>
      <c r="M323">
        <v>3</v>
      </c>
      <c r="N323">
        <f t="shared" ref="N323:N386" si="30">60*60*2/J323</f>
        <v>1800</v>
      </c>
      <c r="O323">
        <f t="shared" ref="O323:O386" si="31">N323*(1-0.02)</f>
        <v>1764</v>
      </c>
      <c r="P323" s="1">
        <f t="shared" ref="P323:P386" si="32">O323/I323</f>
        <v>11.235668789808917</v>
      </c>
      <c r="Q323" s="1">
        <f t="shared" ref="Q323:Q386" si="33">(I323*2*PI()/60)*(C323/2000)</f>
        <v>1.1344291072112744</v>
      </c>
      <c r="R323" s="1">
        <f t="shared" ref="R323:R386" si="34">Q323*196.85</f>
        <v>223.31236975453936</v>
      </c>
      <c r="S323" s="1">
        <f t="shared" ref="S323:S386" si="35">R323-G323</f>
        <v>0.31236975453936111</v>
      </c>
    </row>
    <row r="324" spans="1:19" x14ac:dyDescent="0.35">
      <c r="A324">
        <v>323</v>
      </c>
      <c r="B324" t="s">
        <v>23</v>
      </c>
      <c r="C324">
        <v>138</v>
      </c>
      <c r="D324" t="s">
        <v>13</v>
      </c>
      <c r="E324">
        <v>30</v>
      </c>
      <c r="F324">
        <v>0.34</v>
      </c>
      <c r="G324">
        <v>162</v>
      </c>
      <c r="H324">
        <v>75</v>
      </c>
      <c r="I324">
        <v>114</v>
      </c>
      <c r="J324">
        <v>4</v>
      </c>
      <c r="K324" t="s">
        <v>14</v>
      </c>
      <c r="L324" t="s">
        <v>24</v>
      </c>
      <c r="M324">
        <v>3</v>
      </c>
      <c r="N324">
        <f t="shared" si="30"/>
        <v>1800</v>
      </c>
      <c r="O324">
        <f t="shared" si="31"/>
        <v>1764</v>
      </c>
      <c r="P324" s="1">
        <f t="shared" si="32"/>
        <v>15.473684210526315</v>
      </c>
      <c r="Q324" s="1">
        <f t="shared" si="33"/>
        <v>0.82372559377124377</v>
      </c>
      <c r="R324" s="1">
        <f t="shared" si="34"/>
        <v>162.15038313386933</v>
      </c>
      <c r="S324" s="1">
        <f t="shared" si="35"/>
        <v>0.150383133869326</v>
      </c>
    </row>
    <row r="325" spans="1:19" x14ac:dyDescent="0.35">
      <c r="A325">
        <v>324</v>
      </c>
      <c r="B325" t="s">
        <v>23</v>
      </c>
      <c r="C325">
        <v>138</v>
      </c>
      <c r="D325" t="s">
        <v>13</v>
      </c>
      <c r="E325">
        <v>30</v>
      </c>
      <c r="F325">
        <v>0.34</v>
      </c>
      <c r="G325">
        <v>142</v>
      </c>
      <c r="H325">
        <v>85</v>
      </c>
      <c r="I325">
        <v>100</v>
      </c>
      <c r="J325">
        <v>4</v>
      </c>
      <c r="K325" t="s">
        <v>14</v>
      </c>
      <c r="L325" t="s">
        <v>24</v>
      </c>
      <c r="M325">
        <v>3</v>
      </c>
      <c r="N325">
        <f t="shared" si="30"/>
        <v>1800</v>
      </c>
      <c r="O325">
        <f t="shared" si="31"/>
        <v>1764</v>
      </c>
      <c r="P325" s="1">
        <f t="shared" si="32"/>
        <v>17.64</v>
      </c>
      <c r="Q325" s="1">
        <f t="shared" si="33"/>
        <v>0.72256631032565255</v>
      </c>
      <c r="R325" s="1">
        <f t="shared" si="34"/>
        <v>142.23717818760471</v>
      </c>
      <c r="S325" s="1">
        <f t="shared" si="35"/>
        <v>0.23717818760471232</v>
      </c>
    </row>
    <row r="326" spans="1:19" x14ac:dyDescent="0.35">
      <c r="A326">
        <v>325</v>
      </c>
      <c r="B326" t="s">
        <v>23</v>
      </c>
      <c r="C326">
        <v>138</v>
      </c>
      <c r="D326" t="s">
        <v>13</v>
      </c>
      <c r="E326">
        <v>30</v>
      </c>
      <c r="F326">
        <v>0.34</v>
      </c>
      <c r="G326">
        <v>108</v>
      </c>
      <c r="H326">
        <v>113</v>
      </c>
      <c r="I326">
        <v>76</v>
      </c>
      <c r="J326">
        <v>4</v>
      </c>
      <c r="K326" t="s">
        <v>14</v>
      </c>
      <c r="L326" t="s">
        <v>24</v>
      </c>
      <c r="M326">
        <v>3</v>
      </c>
      <c r="N326">
        <f t="shared" si="30"/>
        <v>1800</v>
      </c>
      <c r="O326">
        <f t="shared" si="31"/>
        <v>1764</v>
      </c>
      <c r="P326" s="1">
        <f t="shared" si="32"/>
        <v>23.210526315789473</v>
      </c>
      <c r="Q326" s="1">
        <f t="shared" si="33"/>
        <v>0.54915039584749581</v>
      </c>
      <c r="R326" s="1">
        <f t="shared" si="34"/>
        <v>108.10025542257955</v>
      </c>
      <c r="S326" s="1">
        <f t="shared" si="35"/>
        <v>0.10025542257955067</v>
      </c>
    </row>
    <row r="327" spans="1:19" x14ac:dyDescent="0.35">
      <c r="A327">
        <v>326</v>
      </c>
      <c r="B327" t="s">
        <v>23</v>
      </c>
      <c r="C327">
        <v>138</v>
      </c>
      <c r="D327" t="s">
        <v>13</v>
      </c>
      <c r="E327">
        <v>30</v>
      </c>
      <c r="F327">
        <v>0.34</v>
      </c>
      <c r="G327">
        <v>91</v>
      </c>
      <c r="H327">
        <v>133</v>
      </c>
      <c r="I327">
        <v>64</v>
      </c>
      <c r="J327">
        <v>4</v>
      </c>
      <c r="K327" t="s">
        <v>14</v>
      </c>
      <c r="L327" t="s">
        <v>24</v>
      </c>
      <c r="M327">
        <v>3</v>
      </c>
      <c r="N327">
        <f t="shared" si="30"/>
        <v>1800</v>
      </c>
      <c r="O327">
        <f t="shared" si="31"/>
        <v>1764</v>
      </c>
      <c r="P327" s="1">
        <f t="shared" si="32"/>
        <v>27.5625</v>
      </c>
      <c r="Q327" s="1">
        <f t="shared" si="33"/>
        <v>0.46244243860841755</v>
      </c>
      <c r="R327" s="1">
        <f t="shared" si="34"/>
        <v>91.031794040066998</v>
      </c>
      <c r="S327" s="1">
        <f t="shared" si="35"/>
        <v>3.1794040066998264E-2</v>
      </c>
    </row>
    <row r="328" spans="1:19" x14ac:dyDescent="0.35">
      <c r="A328">
        <v>327</v>
      </c>
      <c r="B328" t="s">
        <v>23</v>
      </c>
      <c r="C328">
        <v>138</v>
      </c>
      <c r="D328" t="s">
        <v>13</v>
      </c>
      <c r="E328">
        <v>30</v>
      </c>
      <c r="F328">
        <v>0.34</v>
      </c>
      <c r="G328">
        <v>66</v>
      </c>
      <c r="H328">
        <v>184</v>
      </c>
      <c r="I328">
        <v>47</v>
      </c>
      <c r="J328">
        <v>4</v>
      </c>
      <c r="K328" t="s">
        <v>22</v>
      </c>
      <c r="L328" t="s">
        <v>24</v>
      </c>
      <c r="M328">
        <v>3</v>
      </c>
      <c r="N328">
        <f t="shared" si="30"/>
        <v>1800</v>
      </c>
      <c r="O328">
        <f t="shared" si="31"/>
        <v>1764</v>
      </c>
      <c r="P328" s="1">
        <f t="shared" si="32"/>
        <v>37.531914893617021</v>
      </c>
      <c r="Q328" s="1">
        <f t="shared" si="33"/>
        <v>0.3396061658530567</v>
      </c>
      <c r="R328" s="1">
        <f t="shared" si="34"/>
        <v>66.851473748174215</v>
      </c>
      <c r="S328" s="1">
        <f t="shared" si="35"/>
        <v>0.85147374817421451</v>
      </c>
    </row>
    <row r="329" spans="1:19" x14ac:dyDescent="0.35">
      <c r="A329">
        <v>328</v>
      </c>
      <c r="B329" t="s">
        <v>23</v>
      </c>
      <c r="C329">
        <v>138</v>
      </c>
      <c r="D329" t="s">
        <v>13</v>
      </c>
      <c r="E329">
        <v>30</v>
      </c>
      <c r="F329">
        <v>0.34</v>
      </c>
      <c r="G329">
        <v>59</v>
      </c>
      <c r="H329">
        <v>207</v>
      </c>
      <c r="I329">
        <v>41</v>
      </c>
      <c r="J329">
        <v>4</v>
      </c>
      <c r="K329" t="s">
        <v>22</v>
      </c>
      <c r="L329" t="s">
        <v>24</v>
      </c>
      <c r="M329">
        <v>3</v>
      </c>
      <c r="N329">
        <f t="shared" si="30"/>
        <v>1800</v>
      </c>
      <c r="O329">
        <f t="shared" si="31"/>
        <v>1764</v>
      </c>
      <c r="P329" s="1">
        <f t="shared" si="32"/>
        <v>43.024390243902438</v>
      </c>
      <c r="Q329" s="1">
        <f t="shared" si="33"/>
        <v>0.29625218723351748</v>
      </c>
      <c r="R329" s="1">
        <f t="shared" si="34"/>
        <v>58.317243056917917</v>
      </c>
      <c r="S329" s="1">
        <f t="shared" si="35"/>
        <v>-0.68275694308208301</v>
      </c>
    </row>
    <row r="330" spans="1:19" x14ac:dyDescent="0.35">
      <c r="A330">
        <v>329</v>
      </c>
      <c r="B330" t="s">
        <v>23</v>
      </c>
      <c r="C330">
        <v>138</v>
      </c>
      <c r="D330" t="s">
        <v>13</v>
      </c>
      <c r="E330">
        <v>30</v>
      </c>
      <c r="F330">
        <v>0.34</v>
      </c>
      <c r="G330">
        <v>45</v>
      </c>
      <c r="H330">
        <v>273</v>
      </c>
      <c r="I330">
        <v>31</v>
      </c>
      <c r="J330">
        <v>4</v>
      </c>
      <c r="K330" t="s">
        <v>22</v>
      </c>
      <c r="L330" t="s">
        <v>24</v>
      </c>
      <c r="M330">
        <v>3</v>
      </c>
      <c r="N330">
        <f t="shared" si="30"/>
        <v>1800</v>
      </c>
      <c r="O330">
        <f t="shared" si="31"/>
        <v>1764</v>
      </c>
      <c r="P330" s="1">
        <f t="shared" si="32"/>
        <v>56.903225806451616</v>
      </c>
      <c r="Q330" s="1">
        <f t="shared" si="33"/>
        <v>0.22399555620095224</v>
      </c>
      <c r="R330" s="1">
        <f t="shared" si="34"/>
        <v>44.093525238157447</v>
      </c>
      <c r="S330" s="1">
        <f t="shared" si="35"/>
        <v>-0.90647476184255282</v>
      </c>
    </row>
    <row r="331" spans="1:19" x14ac:dyDescent="0.35">
      <c r="A331">
        <v>330</v>
      </c>
      <c r="B331" t="s">
        <v>23</v>
      </c>
      <c r="C331">
        <v>138</v>
      </c>
      <c r="D331" t="s">
        <v>13</v>
      </c>
      <c r="E331">
        <v>30</v>
      </c>
      <c r="F331">
        <v>0.25</v>
      </c>
      <c r="G331">
        <v>12</v>
      </c>
      <c r="H331">
        <v>742</v>
      </c>
      <c r="I331">
        <v>8</v>
      </c>
      <c r="J331">
        <v>4</v>
      </c>
      <c r="K331" t="s">
        <v>17</v>
      </c>
      <c r="L331" t="s">
        <v>24</v>
      </c>
      <c r="M331">
        <v>3</v>
      </c>
      <c r="N331">
        <f t="shared" si="30"/>
        <v>1800</v>
      </c>
      <c r="O331">
        <f t="shared" si="31"/>
        <v>1764</v>
      </c>
      <c r="P331" s="1">
        <f t="shared" si="32"/>
        <v>220.5</v>
      </c>
      <c r="Q331" s="1">
        <f t="shared" si="33"/>
        <v>5.7805304826052194E-2</v>
      </c>
      <c r="R331" s="1">
        <f t="shared" si="34"/>
        <v>11.378974255008375</v>
      </c>
      <c r="S331" s="1">
        <f t="shared" si="35"/>
        <v>-0.62102574499162522</v>
      </c>
    </row>
    <row r="332" spans="1:19" x14ac:dyDescent="0.35">
      <c r="A332">
        <v>331</v>
      </c>
      <c r="B332" t="s">
        <v>23</v>
      </c>
      <c r="C332">
        <v>138</v>
      </c>
      <c r="D332" t="s">
        <v>13</v>
      </c>
      <c r="E332">
        <v>30</v>
      </c>
      <c r="F332">
        <v>0.25</v>
      </c>
      <c r="G332">
        <v>9</v>
      </c>
      <c r="H332">
        <v>767</v>
      </c>
      <c r="I332">
        <v>7</v>
      </c>
      <c r="J332">
        <v>4</v>
      </c>
      <c r="K332" t="s">
        <v>17</v>
      </c>
      <c r="L332" t="s">
        <v>24</v>
      </c>
      <c r="M332">
        <v>3</v>
      </c>
      <c r="N332">
        <f t="shared" si="30"/>
        <v>1800</v>
      </c>
      <c r="O332">
        <f t="shared" si="31"/>
        <v>1764</v>
      </c>
      <c r="P332" s="1">
        <f t="shared" si="32"/>
        <v>252</v>
      </c>
      <c r="Q332" s="1">
        <f t="shared" si="33"/>
        <v>5.0579641722795679E-2</v>
      </c>
      <c r="R332" s="1">
        <f t="shared" si="34"/>
        <v>9.9566024731323299</v>
      </c>
      <c r="S332" s="1">
        <f t="shared" si="35"/>
        <v>0.95660247313232993</v>
      </c>
    </row>
    <row r="333" spans="1:19" x14ac:dyDescent="0.35">
      <c r="A333">
        <v>332</v>
      </c>
      <c r="B333" t="s">
        <v>23</v>
      </c>
      <c r="C333">
        <v>138</v>
      </c>
      <c r="D333" t="s">
        <v>13</v>
      </c>
      <c r="E333">
        <v>30</v>
      </c>
      <c r="F333">
        <v>0.25</v>
      </c>
      <c r="G333">
        <v>8</v>
      </c>
      <c r="H333">
        <v>767</v>
      </c>
      <c r="I333">
        <v>6</v>
      </c>
      <c r="J333">
        <v>4</v>
      </c>
      <c r="K333" t="s">
        <v>17</v>
      </c>
      <c r="L333" t="s">
        <v>24</v>
      </c>
      <c r="M333">
        <v>3</v>
      </c>
      <c r="N333">
        <f t="shared" si="30"/>
        <v>1800</v>
      </c>
      <c r="O333">
        <f t="shared" si="31"/>
        <v>1764</v>
      </c>
      <c r="P333" s="1">
        <f t="shared" si="32"/>
        <v>294</v>
      </c>
      <c r="Q333" s="1">
        <f t="shared" si="33"/>
        <v>4.335397861953915E-2</v>
      </c>
      <c r="R333" s="1">
        <f t="shared" si="34"/>
        <v>8.5342306912562815</v>
      </c>
      <c r="S333" s="1">
        <f t="shared" si="35"/>
        <v>0.53423069125628153</v>
      </c>
    </row>
    <row r="334" spans="1:19" x14ac:dyDescent="0.35">
      <c r="A334">
        <v>333</v>
      </c>
      <c r="B334" t="s">
        <v>23</v>
      </c>
      <c r="C334">
        <v>138</v>
      </c>
      <c r="D334" t="s">
        <v>13</v>
      </c>
      <c r="E334">
        <v>30</v>
      </c>
      <c r="F334">
        <v>0.25</v>
      </c>
      <c r="G334">
        <v>6</v>
      </c>
      <c r="H334">
        <v>767</v>
      </c>
      <c r="I334">
        <v>4</v>
      </c>
      <c r="J334">
        <v>4</v>
      </c>
      <c r="K334" t="s">
        <v>17</v>
      </c>
      <c r="L334" t="s">
        <v>24</v>
      </c>
      <c r="M334">
        <v>3</v>
      </c>
      <c r="N334">
        <f t="shared" si="30"/>
        <v>1800</v>
      </c>
      <c r="O334">
        <f t="shared" si="31"/>
        <v>1764</v>
      </c>
      <c r="P334" s="1">
        <f t="shared" si="32"/>
        <v>441</v>
      </c>
      <c r="Q334" s="1">
        <f t="shared" si="33"/>
        <v>2.8902652413026097E-2</v>
      </c>
      <c r="R334" s="1">
        <f t="shared" si="34"/>
        <v>5.6894871275041874</v>
      </c>
      <c r="S334" s="1">
        <f t="shared" si="35"/>
        <v>-0.31051287249581261</v>
      </c>
    </row>
    <row r="335" spans="1:19" x14ac:dyDescent="0.35">
      <c r="A335">
        <v>334</v>
      </c>
      <c r="B335" t="s">
        <v>25</v>
      </c>
      <c r="C335">
        <v>160</v>
      </c>
      <c r="D335" t="s">
        <v>13</v>
      </c>
      <c r="E335">
        <v>40</v>
      </c>
      <c r="F335">
        <v>3</v>
      </c>
      <c r="G335">
        <v>272</v>
      </c>
      <c r="H335">
        <v>339</v>
      </c>
      <c r="I335">
        <v>160</v>
      </c>
      <c r="J335">
        <v>2</v>
      </c>
      <c r="K335" t="s">
        <v>14</v>
      </c>
      <c r="L335" t="s">
        <v>26</v>
      </c>
      <c r="M335">
        <v>3</v>
      </c>
      <c r="N335">
        <f t="shared" si="30"/>
        <v>3600</v>
      </c>
      <c r="O335">
        <f t="shared" si="31"/>
        <v>3528</v>
      </c>
      <c r="P335" s="1">
        <f t="shared" si="32"/>
        <v>22.05</v>
      </c>
      <c r="Q335" s="1">
        <f t="shared" si="33"/>
        <v>1.340412865531645</v>
      </c>
      <c r="R335" s="1">
        <f t="shared" si="34"/>
        <v>263.86027257990429</v>
      </c>
      <c r="S335" s="1">
        <f t="shared" si="35"/>
        <v>-8.1397274200957099</v>
      </c>
    </row>
    <row r="336" spans="1:19" x14ac:dyDescent="0.35">
      <c r="A336">
        <v>335</v>
      </c>
      <c r="B336" t="s">
        <v>25</v>
      </c>
      <c r="C336">
        <v>160</v>
      </c>
      <c r="D336" t="s">
        <v>13</v>
      </c>
      <c r="E336">
        <v>40</v>
      </c>
      <c r="F336">
        <v>3</v>
      </c>
      <c r="G336">
        <v>236</v>
      </c>
      <c r="H336">
        <v>391</v>
      </c>
      <c r="I336">
        <v>139</v>
      </c>
      <c r="J336">
        <v>2</v>
      </c>
      <c r="K336" t="s">
        <v>14</v>
      </c>
      <c r="L336" t="s">
        <v>26</v>
      </c>
      <c r="M336">
        <v>3</v>
      </c>
      <c r="N336">
        <f t="shared" si="30"/>
        <v>3600</v>
      </c>
      <c r="O336">
        <f t="shared" si="31"/>
        <v>3528</v>
      </c>
      <c r="P336" s="1">
        <f t="shared" si="32"/>
        <v>25.381294964028775</v>
      </c>
      <c r="Q336" s="1">
        <f t="shared" si="33"/>
        <v>1.1644836769306168</v>
      </c>
      <c r="R336" s="1">
        <f t="shared" si="34"/>
        <v>229.22861180379192</v>
      </c>
      <c r="S336" s="1">
        <f t="shared" si="35"/>
        <v>-6.7713881962080791</v>
      </c>
    </row>
    <row r="337" spans="1:19" x14ac:dyDescent="0.35">
      <c r="A337">
        <v>336</v>
      </c>
      <c r="B337" t="s">
        <v>25</v>
      </c>
      <c r="C337">
        <v>160</v>
      </c>
      <c r="D337" t="s">
        <v>13</v>
      </c>
      <c r="E337">
        <v>40</v>
      </c>
      <c r="F337">
        <v>3</v>
      </c>
      <c r="G337">
        <v>213</v>
      </c>
      <c r="H337">
        <v>434</v>
      </c>
      <c r="I337">
        <v>126</v>
      </c>
      <c r="J337">
        <v>2</v>
      </c>
      <c r="K337" t="s">
        <v>14</v>
      </c>
      <c r="L337" t="s">
        <v>26</v>
      </c>
      <c r="M337">
        <v>3</v>
      </c>
      <c r="N337">
        <f t="shared" si="30"/>
        <v>3600</v>
      </c>
      <c r="O337">
        <f t="shared" si="31"/>
        <v>3528</v>
      </c>
      <c r="P337" s="1">
        <f t="shared" si="32"/>
        <v>28</v>
      </c>
      <c r="Q337" s="1">
        <f t="shared" si="33"/>
        <v>1.0555751316061706</v>
      </c>
      <c r="R337" s="1">
        <f t="shared" si="34"/>
        <v>207.78996465667467</v>
      </c>
      <c r="S337" s="1">
        <f t="shared" si="35"/>
        <v>-5.2100353433253304</v>
      </c>
    </row>
    <row r="338" spans="1:19" x14ac:dyDescent="0.35">
      <c r="A338">
        <v>337</v>
      </c>
      <c r="B338" t="s">
        <v>25</v>
      </c>
      <c r="C338">
        <v>160</v>
      </c>
      <c r="D338" t="s">
        <v>13</v>
      </c>
      <c r="E338">
        <v>40</v>
      </c>
      <c r="F338">
        <v>3</v>
      </c>
      <c r="G338">
        <v>201</v>
      </c>
      <c r="H338">
        <v>460</v>
      </c>
      <c r="I338">
        <v>119</v>
      </c>
      <c r="J338">
        <v>2</v>
      </c>
      <c r="K338" t="s">
        <v>14</v>
      </c>
      <c r="L338" t="s">
        <v>26</v>
      </c>
      <c r="M338">
        <v>3</v>
      </c>
      <c r="N338">
        <f t="shared" si="30"/>
        <v>3600</v>
      </c>
      <c r="O338">
        <f t="shared" si="31"/>
        <v>3528</v>
      </c>
      <c r="P338" s="1">
        <f t="shared" si="32"/>
        <v>29.647058823529413</v>
      </c>
      <c r="Q338" s="1">
        <f t="shared" si="33"/>
        <v>0.99693206873916096</v>
      </c>
      <c r="R338" s="1">
        <f t="shared" si="34"/>
        <v>196.24607773130384</v>
      </c>
      <c r="S338" s="1">
        <f t="shared" si="35"/>
        <v>-4.753922268696158</v>
      </c>
    </row>
    <row r="339" spans="1:19" x14ac:dyDescent="0.35">
      <c r="A339">
        <v>338</v>
      </c>
      <c r="B339" t="s">
        <v>25</v>
      </c>
      <c r="C339">
        <v>160</v>
      </c>
      <c r="D339" t="s">
        <v>13</v>
      </c>
      <c r="E339">
        <v>40</v>
      </c>
      <c r="F339">
        <v>3</v>
      </c>
      <c r="G339">
        <v>189</v>
      </c>
      <c r="H339">
        <v>488</v>
      </c>
      <c r="I339">
        <v>111</v>
      </c>
      <c r="J339">
        <v>2</v>
      </c>
      <c r="K339" t="s">
        <v>14</v>
      </c>
      <c r="L339" t="s">
        <v>26</v>
      </c>
      <c r="M339">
        <v>3</v>
      </c>
      <c r="N339">
        <f t="shared" si="30"/>
        <v>3600</v>
      </c>
      <c r="O339">
        <f t="shared" si="31"/>
        <v>3528</v>
      </c>
      <c r="P339" s="1">
        <f t="shared" si="32"/>
        <v>31.783783783783782</v>
      </c>
      <c r="Q339" s="1">
        <f t="shared" si="33"/>
        <v>0.92991142546257877</v>
      </c>
      <c r="R339" s="1">
        <f t="shared" si="34"/>
        <v>183.05306410230864</v>
      </c>
      <c r="S339" s="1">
        <f t="shared" si="35"/>
        <v>-5.9469358976913611</v>
      </c>
    </row>
    <row r="340" spans="1:19" x14ac:dyDescent="0.35">
      <c r="A340">
        <v>339</v>
      </c>
      <c r="B340" t="s">
        <v>25</v>
      </c>
      <c r="C340">
        <v>160</v>
      </c>
      <c r="D340" t="s">
        <v>13</v>
      </c>
      <c r="E340">
        <v>40</v>
      </c>
      <c r="F340">
        <v>2</v>
      </c>
      <c r="G340">
        <v>272</v>
      </c>
      <c r="H340">
        <v>232</v>
      </c>
      <c r="I340">
        <v>160</v>
      </c>
      <c r="J340">
        <v>2</v>
      </c>
      <c r="K340" t="s">
        <v>14</v>
      </c>
      <c r="L340" t="s">
        <v>26</v>
      </c>
      <c r="M340">
        <v>3</v>
      </c>
      <c r="N340">
        <f t="shared" si="30"/>
        <v>3600</v>
      </c>
      <c r="O340">
        <f t="shared" si="31"/>
        <v>3528</v>
      </c>
      <c r="P340" s="1">
        <f t="shared" si="32"/>
        <v>22.05</v>
      </c>
      <c r="Q340" s="1">
        <f t="shared" si="33"/>
        <v>1.340412865531645</v>
      </c>
      <c r="R340" s="1">
        <f t="shared" si="34"/>
        <v>263.86027257990429</v>
      </c>
      <c r="S340" s="1">
        <f t="shared" si="35"/>
        <v>-8.1397274200957099</v>
      </c>
    </row>
    <row r="341" spans="1:19" x14ac:dyDescent="0.35">
      <c r="A341">
        <v>340</v>
      </c>
      <c r="B341" t="s">
        <v>25</v>
      </c>
      <c r="C341">
        <v>160</v>
      </c>
      <c r="D341" t="s">
        <v>13</v>
      </c>
      <c r="E341">
        <v>40</v>
      </c>
      <c r="F341">
        <v>2</v>
      </c>
      <c r="G341">
        <v>236</v>
      </c>
      <c r="H341">
        <v>266</v>
      </c>
      <c r="I341">
        <v>139</v>
      </c>
      <c r="J341">
        <v>2</v>
      </c>
      <c r="K341" t="s">
        <v>14</v>
      </c>
      <c r="L341" t="s">
        <v>26</v>
      </c>
      <c r="M341">
        <v>3</v>
      </c>
      <c r="N341">
        <f t="shared" si="30"/>
        <v>3600</v>
      </c>
      <c r="O341">
        <f t="shared" si="31"/>
        <v>3528</v>
      </c>
      <c r="P341" s="1">
        <f t="shared" si="32"/>
        <v>25.381294964028775</v>
      </c>
      <c r="Q341" s="1">
        <f t="shared" si="33"/>
        <v>1.1644836769306168</v>
      </c>
      <c r="R341" s="1">
        <f t="shared" si="34"/>
        <v>229.22861180379192</v>
      </c>
      <c r="S341" s="1">
        <f t="shared" si="35"/>
        <v>-6.7713881962080791</v>
      </c>
    </row>
    <row r="342" spans="1:19" x14ac:dyDescent="0.35">
      <c r="A342">
        <v>341</v>
      </c>
      <c r="B342" t="s">
        <v>25</v>
      </c>
      <c r="C342">
        <v>160</v>
      </c>
      <c r="D342" t="s">
        <v>13</v>
      </c>
      <c r="E342">
        <v>40</v>
      </c>
      <c r="F342">
        <v>2</v>
      </c>
      <c r="G342">
        <v>213</v>
      </c>
      <c r="H342">
        <v>296</v>
      </c>
      <c r="I342">
        <v>125</v>
      </c>
      <c r="J342">
        <v>2</v>
      </c>
      <c r="K342" t="s">
        <v>14</v>
      </c>
      <c r="L342" t="s">
        <v>26</v>
      </c>
      <c r="M342">
        <v>3</v>
      </c>
      <c r="N342">
        <f t="shared" si="30"/>
        <v>3600</v>
      </c>
      <c r="O342">
        <f t="shared" si="31"/>
        <v>3528</v>
      </c>
      <c r="P342" s="1">
        <f t="shared" si="32"/>
        <v>28.224</v>
      </c>
      <c r="Q342" s="1">
        <f t="shared" si="33"/>
        <v>1.0471975511965976</v>
      </c>
      <c r="R342" s="1">
        <f t="shared" si="34"/>
        <v>206.14083795305024</v>
      </c>
      <c r="S342" s="1">
        <f t="shared" si="35"/>
        <v>-6.8591620469497627</v>
      </c>
    </row>
    <row r="343" spans="1:19" x14ac:dyDescent="0.35">
      <c r="A343">
        <v>342</v>
      </c>
      <c r="B343" t="s">
        <v>25</v>
      </c>
      <c r="C343">
        <v>160</v>
      </c>
      <c r="D343" t="s">
        <v>13</v>
      </c>
      <c r="E343">
        <v>40</v>
      </c>
      <c r="F343">
        <v>2</v>
      </c>
      <c r="G343">
        <v>201</v>
      </c>
      <c r="H343">
        <v>313</v>
      </c>
      <c r="I343">
        <v>118</v>
      </c>
      <c r="J343">
        <v>2</v>
      </c>
      <c r="K343" t="s">
        <v>14</v>
      </c>
      <c r="L343" t="s">
        <v>26</v>
      </c>
      <c r="M343">
        <v>3</v>
      </c>
      <c r="N343">
        <f t="shared" si="30"/>
        <v>3600</v>
      </c>
      <c r="O343">
        <f t="shared" si="31"/>
        <v>3528</v>
      </c>
      <c r="P343" s="1">
        <f t="shared" si="32"/>
        <v>29.898305084745761</v>
      </c>
      <c r="Q343" s="1">
        <f t="shared" si="33"/>
        <v>0.98855448832958825</v>
      </c>
      <c r="R343" s="1">
        <f t="shared" si="34"/>
        <v>194.59695102767944</v>
      </c>
      <c r="S343" s="1">
        <f t="shared" si="35"/>
        <v>-6.4030489723205619</v>
      </c>
    </row>
    <row r="344" spans="1:19" x14ac:dyDescent="0.35">
      <c r="A344">
        <v>343</v>
      </c>
      <c r="B344" t="s">
        <v>25</v>
      </c>
      <c r="C344">
        <v>160</v>
      </c>
      <c r="D344" t="s">
        <v>13</v>
      </c>
      <c r="E344">
        <v>40</v>
      </c>
      <c r="F344">
        <v>2</v>
      </c>
      <c r="G344">
        <v>189</v>
      </c>
      <c r="H344">
        <v>333</v>
      </c>
      <c r="I344">
        <v>111</v>
      </c>
      <c r="J344">
        <v>2</v>
      </c>
      <c r="K344" t="s">
        <v>14</v>
      </c>
      <c r="L344" t="s">
        <v>26</v>
      </c>
      <c r="M344">
        <v>3</v>
      </c>
      <c r="N344">
        <f t="shared" si="30"/>
        <v>3600</v>
      </c>
      <c r="O344">
        <f t="shared" si="31"/>
        <v>3528</v>
      </c>
      <c r="P344" s="1">
        <f t="shared" si="32"/>
        <v>31.783783783783782</v>
      </c>
      <c r="Q344" s="1">
        <f t="shared" si="33"/>
        <v>0.92991142546257877</v>
      </c>
      <c r="R344" s="1">
        <f t="shared" si="34"/>
        <v>183.05306410230864</v>
      </c>
      <c r="S344" s="1">
        <f t="shared" si="35"/>
        <v>-5.9469358976913611</v>
      </c>
    </row>
    <row r="345" spans="1:19" x14ac:dyDescent="0.35">
      <c r="A345">
        <v>344</v>
      </c>
      <c r="B345" t="s">
        <v>25</v>
      </c>
      <c r="C345">
        <v>160</v>
      </c>
      <c r="D345" t="s">
        <v>13</v>
      </c>
      <c r="E345">
        <v>40</v>
      </c>
      <c r="F345">
        <v>2</v>
      </c>
      <c r="G345">
        <v>165</v>
      </c>
      <c r="H345">
        <v>381</v>
      </c>
      <c r="I345">
        <v>97</v>
      </c>
      <c r="J345">
        <v>4</v>
      </c>
      <c r="K345" t="s">
        <v>14</v>
      </c>
      <c r="L345" t="s">
        <v>26</v>
      </c>
      <c r="M345">
        <v>3</v>
      </c>
      <c r="N345">
        <f t="shared" si="30"/>
        <v>1800</v>
      </c>
      <c r="O345">
        <f t="shared" si="31"/>
        <v>1764</v>
      </c>
      <c r="P345" s="1">
        <f t="shared" si="32"/>
        <v>18.185567010309278</v>
      </c>
      <c r="Q345" s="1">
        <f t="shared" si="33"/>
        <v>0.81262529972855979</v>
      </c>
      <c r="R345" s="1">
        <f t="shared" si="34"/>
        <v>159.96529025156698</v>
      </c>
      <c r="S345" s="1">
        <f t="shared" si="35"/>
        <v>-5.0347097484330163</v>
      </c>
    </row>
    <row r="346" spans="1:19" x14ac:dyDescent="0.35">
      <c r="A346">
        <v>345</v>
      </c>
      <c r="B346" t="s">
        <v>25</v>
      </c>
      <c r="C346">
        <v>160</v>
      </c>
      <c r="D346" t="s">
        <v>13</v>
      </c>
      <c r="E346">
        <v>40</v>
      </c>
      <c r="F346">
        <v>2</v>
      </c>
      <c r="G346">
        <v>154</v>
      </c>
      <c r="H346">
        <v>410</v>
      </c>
      <c r="I346">
        <v>90</v>
      </c>
      <c r="J346">
        <v>4</v>
      </c>
      <c r="K346" t="s">
        <v>14</v>
      </c>
      <c r="L346" t="s">
        <v>26</v>
      </c>
      <c r="M346">
        <v>3</v>
      </c>
      <c r="N346">
        <f t="shared" si="30"/>
        <v>1800</v>
      </c>
      <c r="O346">
        <f t="shared" si="31"/>
        <v>1764</v>
      </c>
      <c r="P346" s="1">
        <f t="shared" si="32"/>
        <v>19.600000000000001</v>
      </c>
      <c r="Q346" s="1">
        <f t="shared" si="33"/>
        <v>0.75398223686155041</v>
      </c>
      <c r="R346" s="1">
        <f t="shared" si="34"/>
        <v>148.42140332619618</v>
      </c>
      <c r="S346" s="1">
        <f t="shared" si="35"/>
        <v>-5.5785966738038155</v>
      </c>
    </row>
    <row r="347" spans="1:19" x14ac:dyDescent="0.35">
      <c r="A347">
        <v>346</v>
      </c>
      <c r="B347" t="s">
        <v>25</v>
      </c>
      <c r="C347">
        <v>160</v>
      </c>
      <c r="D347" t="s">
        <v>13</v>
      </c>
      <c r="E347">
        <v>40</v>
      </c>
      <c r="F347">
        <v>2</v>
      </c>
      <c r="G347">
        <v>142</v>
      </c>
      <c r="H347">
        <v>444</v>
      </c>
      <c r="I347">
        <v>83</v>
      </c>
      <c r="J347">
        <v>4</v>
      </c>
      <c r="K347" t="s">
        <v>14</v>
      </c>
      <c r="L347" t="s">
        <v>26</v>
      </c>
      <c r="M347">
        <v>3</v>
      </c>
      <c r="N347">
        <f t="shared" si="30"/>
        <v>1800</v>
      </c>
      <c r="O347">
        <f t="shared" si="31"/>
        <v>1764</v>
      </c>
      <c r="P347" s="1">
        <f t="shared" si="32"/>
        <v>21.253012048192772</v>
      </c>
      <c r="Q347" s="1">
        <f t="shared" si="33"/>
        <v>0.69533917399454104</v>
      </c>
      <c r="R347" s="1">
        <f t="shared" si="34"/>
        <v>136.87751640082539</v>
      </c>
      <c r="S347" s="1">
        <f t="shared" si="35"/>
        <v>-5.1224835991746147</v>
      </c>
    </row>
    <row r="348" spans="1:19" x14ac:dyDescent="0.35">
      <c r="A348">
        <v>347</v>
      </c>
      <c r="B348" t="s">
        <v>25</v>
      </c>
      <c r="C348">
        <v>160</v>
      </c>
      <c r="D348" t="s">
        <v>13</v>
      </c>
      <c r="E348">
        <v>40</v>
      </c>
      <c r="F348">
        <v>2</v>
      </c>
      <c r="G348">
        <v>130</v>
      </c>
      <c r="H348">
        <v>484</v>
      </c>
      <c r="I348">
        <v>76</v>
      </c>
      <c r="J348">
        <v>4</v>
      </c>
      <c r="K348" t="s">
        <v>14</v>
      </c>
      <c r="L348" t="s">
        <v>26</v>
      </c>
      <c r="M348">
        <v>3</v>
      </c>
      <c r="N348">
        <f t="shared" si="30"/>
        <v>1800</v>
      </c>
      <c r="O348">
        <f t="shared" si="31"/>
        <v>1764</v>
      </c>
      <c r="P348" s="1">
        <f t="shared" si="32"/>
        <v>23.210526315789473</v>
      </c>
      <c r="Q348" s="1">
        <f t="shared" si="33"/>
        <v>0.63669611112753144</v>
      </c>
      <c r="R348" s="1">
        <f t="shared" si="34"/>
        <v>125.33362947545456</v>
      </c>
      <c r="S348" s="1">
        <f t="shared" si="35"/>
        <v>-4.6663705245454423</v>
      </c>
    </row>
    <row r="349" spans="1:19" x14ac:dyDescent="0.35">
      <c r="A349">
        <v>348</v>
      </c>
      <c r="B349" t="s">
        <v>25</v>
      </c>
      <c r="C349">
        <v>160</v>
      </c>
      <c r="D349" t="s">
        <v>13</v>
      </c>
      <c r="E349">
        <v>40</v>
      </c>
      <c r="F349">
        <v>2</v>
      </c>
      <c r="G349">
        <v>114</v>
      </c>
      <c r="H349">
        <v>407</v>
      </c>
      <c r="I349">
        <v>67</v>
      </c>
      <c r="J349">
        <v>2</v>
      </c>
      <c r="K349" t="s">
        <v>22</v>
      </c>
      <c r="L349" t="s">
        <v>26</v>
      </c>
      <c r="M349">
        <v>3</v>
      </c>
      <c r="N349">
        <f t="shared" si="30"/>
        <v>3600</v>
      </c>
      <c r="O349">
        <f t="shared" si="31"/>
        <v>3528</v>
      </c>
      <c r="P349" s="1">
        <f t="shared" si="32"/>
        <v>52.656716417910445</v>
      </c>
      <c r="Q349" s="1">
        <f t="shared" si="33"/>
        <v>0.56129788744137632</v>
      </c>
      <c r="R349" s="1">
        <f t="shared" si="34"/>
        <v>110.49148914283492</v>
      </c>
      <c r="S349" s="1">
        <f t="shared" si="35"/>
        <v>-3.5085108571650778</v>
      </c>
    </row>
    <row r="350" spans="1:19" x14ac:dyDescent="0.35">
      <c r="A350">
        <v>349</v>
      </c>
      <c r="B350" t="s">
        <v>25</v>
      </c>
      <c r="C350">
        <v>160</v>
      </c>
      <c r="D350" t="s">
        <v>13</v>
      </c>
      <c r="E350">
        <v>40</v>
      </c>
      <c r="F350">
        <v>2</v>
      </c>
      <c r="G350">
        <v>108</v>
      </c>
      <c r="H350">
        <v>580</v>
      </c>
      <c r="I350">
        <v>64</v>
      </c>
      <c r="J350">
        <v>2</v>
      </c>
      <c r="K350" t="s">
        <v>16</v>
      </c>
      <c r="L350" t="s">
        <v>26</v>
      </c>
      <c r="M350">
        <v>3</v>
      </c>
      <c r="N350">
        <f t="shared" si="30"/>
        <v>3600</v>
      </c>
      <c r="O350">
        <f t="shared" si="31"/>
        <v>3528</v>
      </c>
      <c r="P350" s="1">
        <f t="shared" si="32"/>
        <v>55.125</v>
      </c>
      <c r="Q350" s="1">
        <f t="shared" si="33"/>
        <v>0.53616514621265798</v>
      </c>
      <c r="R350" s="1">
        <f t="shared" si="34"/>
        <v>105.54410903196172</v>
      </c>
      <c r="S350" s="1">
        <f t="shared" si="35"/>
        <v>-2.4558909680382754</v>
      </c>
    </row>
    <row r="351" spans="1:19" x14ac:dyDescent="0.35">
      <c r="A351">
        <v>350</v>
      </c>
      <c r="B351" t="s">
        <v>25</v>
      </c>
      <c r="C351">
        <v>160</v>
      </c>
      <c r="D351" t="s">
        <v>13</v>
      </c>
      <c r="E351">
        <v>40</v>
      </c>
      <c r="F351">
        <v>2</v>
      </c>
      <c r="G351">
        <v>87</v>
      </c>
      <c r="H351">
        <v>650</v>
      </c>
      <c r="I351">
        <v>50</v>
      </c>
      <c r="J351">
        <v>2</v>
      </c>
      <c r="K351" t="s">
        <v>16</v>
      </c>
      <c r="L351" t="s">
        <v>26</v>
      </c>
      <c r="M351">
        <v>3</v>
      </c>
      <c r="N351">
        <f t="shared" si="30"/>
        <v>3600</v>
      </c>
      <c r="O351">
        <f t="shared" si="31"/>
        <v>3528</v>
      </c>
      <c r="P351" s="1">
        <f t="shared" si="32"/>
        <v>70.56</v>
      </c>
      <c r="Q351" s="1">
        <f t="shared" si="33"/>
        <v>0.41887902047863912</v>
      </c>
      <c r="R351" s="1">
        <f t="shared" si="34"/>
        <v>82.456335181220112</v>
      </c>
      <c r="S351" s="1">
        <f t="shared" si="35"/>
        <v>-4.543664818779888</v>
      </c>
    </row>
    <row r="352" spans="1:19" x14ac:dyDescent="0.35">
      <c r="A352">
        <v>351</v>
      </c>
      <c r="B352" t="s">
        <v>25</v>
      </c>
      <c r="C352">
        <v>160</v>
      </c>
      <c r="D352" t="s">
        <v>13</v>
      </c>
      <c r="E352">
        <v>40</v>
      </c>
      <c r="F352">
        <v>2</v>
      </c>
      <c r="G352">
        <v>74</v>
      </c>
      <c r="H352">
        <v>800</v>
      </c>
      <c r="I352">
        <v>44</v>
      </c>
      <c r="J352">
        <v>4</v>
      </c>
      <c r="K352" t="s">
        <v>16</v>
      </c>
      <c r="L352" t="s">
        <v>26</v>
      </c>
      <c r="M352">
        <v>3</v>
      </c>
      <c r="N352">
        <f t="shared" si="30"/>
        <v>1800</v>
      </c>
      <c r="O352">
        <f t="shared" si="31"/>
        <v>1764</v>
      </c>
      <c r="P352" s="1">
        <f t="shared" si="32"/>
        <v>40.090909090909093</v>
      </c>
      <c r="Q352" s="1">
        <f t="shared" si="33"/>
        <v>0.36861353802120234</v>
      </c>
      <c r="R352" s="1">
        <f t="shared" si="34"/>
        <v>72.561574959473674</v>
      </c>
      <c r="S352" s="1">
        <f t="shared" si="35"/>
        <v>-1.4384250405263259</v>
      </c>
    </row>
    <row r="353" spans="1:19" x14ac:dyDescent="0.35">
      <c r="A353">
        <v>352</v>
      </c>
      <c r="B353" t="s">
        <v>25</v>
      </c>
      <c r="C353">
        <v>160</v>
      </c>
      <c r="D353" t="s">
        <v>13</v>
      </c>
      <c r="E353">
        <v>40</v>
      </c>
      <c r="F353">
        <v>1.5</v>
      </c>
      <c r="G353">
        <v>165</v>
      </c>
      <c r="H353">
        <v>280</v>
      </c>
      <c r="I353">
        <v>97</v>
      </c>
      <c r="J353">
        <v>4</v>
      </c>
      <c r="K353" t="s">
        <v>14</v>
      </c>
      <c r="L353" t="s">
        <v>26</v>
      </c>
      <c r="M353">
        <v>3</v>
      </c>
      <c r="N353">
        <f t="shared" si="30"/>
        <v>1800</v>
      </c>
      <c r="O353">
        <f t="shared" si="31"/>
        <v>1764</v>
      </c>
      <c r="P353" s="1">
        <f t="shared" si="32"/>
        <v>18.185567010309278</v>
      </c>
      <c r="Q353" s="1">
        <f t="shared" si="33"/>
        <v>0.81262529972855979</v>
      </c>
      <c r="R353" s="1">
        <f t="shared" si="34"/>
        <v>159.96529025156698</v>
      </c>
      <c r="S353" s="1">
        <f t="shared" si="35"/>
        <v>-5.0347097484330163</v>
      </c>
    </row>
    <row r="354" spans="1:19" x14ac:dyDescent="0.35">
      <c r="A354">
        <v>353</v>
      </c>
      <c r="B354" t="s">
        <v>25</v>
      </c>
      <c r="C354">
        <v>160</v>
      </c>
      <c r="D354" t="s">
        <v>13</v>
      </c>
      <c r="E354">
        <v>40</v>
      </c>
      <c r="F354">
        <v>1.5</v>
      </c>
      <c r="G354">
        <v>154</v>
      </c>
      <c r="H354">
        <v>290</v>
      </c>
      <c r="I354">
        <v>90</v>
      </c>
      <c r="J354">
        <v>4</v>
      </c>
      <c r="K354" t="s">
        <v>14</v>
      </c>
      <c r="L354" t="s">
        <v>26</v>
      </c>
      <c r="M354">
        <v>3</v>
      </c>
      <c r="N354">
        <f t="shared" si="30"/>
        <v>1800</v>
      </c>
      <c r="O354">
        <f t="shared" si="31"/>
        <v>1764</v>
      </c>
      <c r="P354" s="1">
        <f t="shared" si="32"/>
        <v>19.600000000000001</v>
      </c>
      <c r="Q354" s="1">
        <f t="shared" si="33"/>
        <v>0.75398223686155041</v>
      </c>
      <c r="R354" s="1">
        <f t="shared" si="34"/>
        <v>148.42140332619618</v>
      </c>
      <c r="S354" s="1">
        <f t="shared" si="35"/>
        <v>-5.5785966738038155</v>
      </c>
    </row>
    <row r="355" spans="1:19" x14ac:dyDescent="0.35">
      <c r="A355">
        <v>354</v>
      </c>
      <c r="B355" t="s">
        <v>25</v>
      </c>
      <c r="C355">
        <v>160</v>
      </c>
      <c r="D355" t="s">
        <v>13</v>
      </c>
      <c r="E355">
        <v>40</v>
      </c>
      <c r="F355">
        <v>1.5</v>
      </c>
      <c r="G355">
        <v>142</v>
      </c>
      <c r="H355">
        <v>333</v>
      </c>
      <c r="I355">
        <v>83</v>
      </c>
      <c r="J355">
        <v>4</v>
      </c>
      <c r="K355" t="s">
        <v>14</v>
      </c>
      <c r="L355" t="s">
        <v>26</v>
      </c>
      <c r="M355">
        <v>3</v>
      </c>
      <c r="N355">
        <f t="shared" si="30"/>
        <v>1800</v>
      </c>
      <c r="O355">
        <f t="shared" si="31"/>
        <v>1764</v>
      </c>
      <c r="P355" s="1">
        <f t="shared" si="32"/>
        <v>21.253012048192772</v>
      </c>
      <c r="Q355" s="1">
        <f t="shared" si="33"/>
        <v>0.69533917399454104</v>
      </c>
      <c r="R355" s="1">
        <f t="shared" si="34"/>
        <v>136.87751640082539</v>
      </c>
      <c r="S355" s="1">
        <f t="shared" si="35"/>
        <v>-5.1224835991746147</v>
      </c>
    </row>
    <row r="356" spans="1:19" x14ac:dyDescent="0.35">
      <c r="A356">
        <v>355</v>
      </c>
      <c r="B356" t="s">
        <v>25</v>
      </c>
      <c r="C356">
        <v>160</v>
      </c>
      <c r="D356" t="s">
        <v>13</v>
      </c>
      <c r="E356">
        <v>40</v>
      </c>
      <c r="F356">
        <v>1.5</v>
      </c>
      <c r="G356">
        <v>130</v>
      </c>
      <c r="H356">
        <v>355</v>
      </c>
      <c r="I356">
        <v>76</v>
      </c>
      <c r="J356">
        <v>4</v>
      </c>
      <c r="K356" t="s">
        <v>14</v>
      </c>
      <c r="L356" t="s">
        <v>26</v>
      </c>
      <c r="M356">
        <v>3</v>
      </c>
      <c r="N356">
        <f t="shared" si="30"/>
        <v>1800</v>
      </c>
      <c r="O356">
        <f t="shared" si="31"/>
        <v>1764</v>
      </c>
      <c r="P356" s="1">
        <f t="shared" si="32"/>
        <v>23.210526315789473</v>
      </c>
      <c r="Q356" s="1">
        <f t="shared" si="33"/>
        <v>0.63669611112753144</v>
      </c>
      <c r="R356" s="1">
        <f t="shared" si="34"/>
        <v>125.33362947545456</v>
      </c>
      <c r="S356" s="1">
        <f t="shared" si="35"/>
        <v>-4.6663705245454423</v>
      </c>
    </row>
    <row r="357" spans="1:19" x14ac:dyDescent="0.35">
      <c r="A357">
        <v>356</v>
      </c>
      <c r="B357" t="s">
        <v>25</v>
      </c>
      <c r="C357">
        <v>160</v>
      </c>
      <c r="D357" t="s">
        <v>13</v>
      </c>
      <c r="E357">
        <v>40</v>
      </c>
      <c r="F357">
        <v>1.5</v>
      </c>
      <c r="G357">
        <v>118</v>
      </c>
      <c r="H357">
        <v>391</v>
      </c>
      <c r="I357">
        <v>69</v>
      </c>
      <c r="J357">
        <v>2</v>
      </c>
      <c r="K357" t="s">
        <v>14</v>
      </c>
      <c r="L357" t="s">
        <v>26</v>
      </c>
      <c r="M357">
        <v>3</v>
      </c>
      <c r="N357">
        <f t="shared" si="30"/>
        <v>3600</v>
      </c>
      <c r="O357">
        <f t="shared" si="31"/>
        <v>3528</v>
      </c>
      <c r="P357" s="1">
        <f t="shared" si="32"/>
        <v>51.130434782608695</v>
      </c>
      <c r="Q357" s="1">
        <f t="shared" si="33"/>
        <v>0.57805304826052195</v>
      </c>
      <c r="R357" s="1">
        <f t="shared" si="34"/>
        <v>113.78974255008374</v>
      </c>
      <c r="S357" s="1">
        <f t="shared" si="35"/>
        <v>-4.2102574499162557</v>
      </c>
    </row>
    <row r="358" spans="1:19" x14ac:dyDescent="0.35">
      <c r="A358">
        <v>357</v>
      </c>
      <c r="B358" t="s">
        <v>25</v>
      </c>
      <c r="C358">
        <v>160</v>
      </c>
      <c r="D358" t="s">
        <v>13</v>
      </c>
      <c r="E358">
        <v>40</v>
      </c>
      <c r="F358">
        <v>1.5</v>
      </c>
      <c r="G358">
        <v>106</v>
      </c>
      <c r="H358">
        <v>434</v>
      </c>
      <c r="I358">
        <v>63</v>
      </c>
      <c r="J358">
        <v>4</v>
      </c>
      <c r="K358" t="s">
        <v>14</v>
      </c>
      <c r="L358" t="s">
        <v>26</v>
      </c>
      <c r="M358">
        <v>3</v>
      </c>
      <c r="N358">
        <f t="shared" si="30"/>
        <v>1800</v>
      </c>
      <c r="O358">
        <f t="shared" si="31"/>
        <v>1764</v>
      </c>
      <c r="P358" s="1">
        <f t="shared" si="32"/>
        <v>28</v>
      </c>
      <c r="Q358" s="1">
        <f t="shared" si="33"/>
        <v>0.52778756580308528</v>
      </c>
      <c r="R358" s="1">
        <f t="shared" si="34"/>
        <v>103.89498232833733</v>
      </c>
      <c r="S358" s="1">
        <f t="shared" si="35"/>
        <v>-2.1050176716626652</v>
      </c>
    </row>
    <row r="359" spans="1:19" x14ac:dyDescent="0.35">
      <c r="A359">
        <v>358</v>
      </c>
      <c r="B359" t="s">
        <v>25</v>
      </c>
      <c r="C359">
        <v>160</v>
      </c>
      <c r="D359" t="s">
        <v>13</v>
      </c>
      <c r="E359">
        <v>40</v>
      </c>
      <c r="F359">
        <v>1.5</v>
      </c>
      <c r="G359">
        <v>94</v>
      </c>
      <c r="H359">
        <v>489</v>
      </c>
      <c r="I359">
        <v>56</v>
      </c>
      <c r="J359">
        <v>4</v>
      </c>
      <c r="K359" t="s">
        <v>14</v>
      </c>
      <c r="L359" t="s">
        <v>26</v>
      </c>
      <c r="M359">
        <v>3</v>
      </c>
      <c r="N359">
        <f t="shared" si="30"/>
        <v>1800</v>
      </c>
      <c r="O359">
        <f t="shared" si="31"/>
        <v>1764</v>
      </c>
      <c r="P359" s="1">
        <f t="shared" si="32"/>
        <v>31.5</v>
      </c>
      <c r="Q359" s="1">
        <f t="shared" si="33"/>
        <v>0.46914450293607579</v>
      </c>
      <c r="R359" s="1">
        <f t="shared" si="34"/>
        <v>92.351095402966521</v>
      </c>
      <c r="S359" s="1">
        <f t="shared" si="35"/>
        <v>-1.6489045970334786</v>
      </c>
    </row>
    <row r="360" spans="1:19" x14ac:dyDescent="0.35">
      <c r="A360">
        <v>359</v>
      </c>
      <c r="B360" t="s">
        <v>25</v>
      </c>
      <c r="C360">
        <v>160</v>
      </c>
      <c r="D360" t="s">
        <v>13</v>
      </c>
      <c r="E360">
        <v>40</v>
      </c>
      <c r="F360">
        <v>1</v>
      </c>
      <c r="G360">
        <v>130</v>
      </c>
      <c r="H360">
        <v>242</v>
      </c>
      <c r="I360">
        <v>76</v>
      </c>
      <c r="J360">
        <v>4</v>
      </c>
      <c r="K360" t="s">
        <v>14</v>
      </c>
      <c r="L360" t="s">
        <v>26</v>
      </c>
      <c r="M360">
        <v>3</v>
      </c>
      <c r="N360">
        <f t="shared" si="30"/>
        <v>1800</v>
      </c>
      <c r="O360">
        <f t="shared" si="31"/>
        <v>1764</v>
      </c>
      <c r="P360" s="1">
        <f t="shared" si="32"/>
        <v>23.210526315789473</v>
      </c>
      <c r="Q360" s="1">
        <f t="shared" si="33"/>
        <v>0.63669611112753144</v>
      </c>
      <c r="R360" s="1">
        <f t="shared" si="34"/>
        <v>125.33362947545456</v>
      </c>
      <c r="S360" s="1">
        <f t="shared" si="35"/>
        <v>-4.6663705245454423</v>
      </c>
    </row>
    <row r="361" spans="1:19" x14ac:dyDescent="0.35">
      <c r="A361">
        <v>360</v>
      </c>
      <c r="B361" t="s">
        <v>25</v>
      </c>
      <c r="C361">
        <v>160</v>
      </c>
      <c r="D361" t="s">
        <v>13</v>
      </c>
      <c r="E361">
        <v>40</v>
      </c>
      <c r="F361">
        <v>1</v>
      </c>
      <c r="G361">
        <v>118</v>
      </c>
      <c r="H361">
        <v>266</v>
      </c>
      <c r="I361">
        <v>69</v>
      </c>
      <c r="J361">
        <v>4</v>
      </c>
      <c r="K361" t="s">
        <v>14</v>
      </c>
      <c r="L361" t="s">
        <v>26</v>
      </c>
      <c r="M361">
        <v>3</v>
      </c>
      <c r="N361">
        <f t="shared" si="30"/>
        <v>1800</v>
      </c>
      <c r="O361">
        <f t="shared" si="31"/>
        <v>1764</v>
      </c>
      <c r="P361" s="1">
        <f t="shared" si="32"/>
        <v>25.565217391304348</v>
      </c>
      <c r="Q361" s="1">
        <f t="shared" si="33"/>
        <v>0.57805304826052195</v>
      </c>
      <c r="R361" s="1">
        <f t="shared" si="34"/>
        <v>113.78974255008374</v>
      </c>
      <c r="S361" s="1">
        <f t="shared" si="35"/>
        <v>-4.2102574499162557</v>
      </c>
    </row>
    <row r="362" spans="1:19" x14ac:dyDescent="0.35">
      <c r="A362">
        <v>361</v>
      </c>
      <c r="B362" t="s">
        <v>25</v>
      </c>
      <c r="C362">
        <v>160</v>
      </c>
      <c r="D362" t="s">
        <v>13</v>
      </c>
      <c r="E362">
        <v>40</v>
      </c>
      <c r="F362">
        <v>1</v>
      </c>
      <c r="G362">
        <v>106</v>
      </c>
      <c r="H362">
        <v>296</v>
      </c>
      <c r="I362">
        <v>63</v>
      </c>
      <c r="J362">
        <v>4</v>
      </c>
      <c r="K362" t="s">
        <v>14</v>
      </c>
      <c r="L362" t="s">
        <v>26</v>
      </c>
      <c r="M362">
        <v>3</v>
      </c>
      <c r="N362">
        <f t="shared" si="30"/>
        <v>1800</v>
      </c>
      <c r="O362">
        <f t="shared" si="31"/>
        <v>1764</v>
      </c>
      <c r="P362" s="1">
        <f t="shared" si="32"/>
        <v>28</v>
      </c>
      <c r="Q362" s="1">
        <f t="shared" si="33"/>
        <v>0.52778756580308528</v>
      </c>
      <c r="R362" s="1">
        <f t="shared" si="34"/>
        <v>103.89498232833733</v>
      </c>
      <c r="S362" s="1">
        <f t="shared" si="35"/>
        <v>-2.1050176716626652</v>
      </c>
    </row>
    <row r="363" spans="1:19" x14ac:dyDescent="0.35">
      <c r="A363">
        <v>362</v>
      </c>
      <c r="B363" t="s">
        <v>25</v>
      </c>
      <c r="C363">
        <v>160</v>
      </c>
      <c r="D363" t="s">
        <v>13</v>
      </c>
      <c r="E363">
        <v>40</v>
      </c>
      <c r="F363">
        <v>1</v>
      </c>
      <c r="G363">
        <v>94</v>
      </c>
      <c r="H363">
        <v>333</v>
      </c>
      <c r="I363">
        <v>56</v>
      </c>
      <c r="J363">
        <v>4</v>
      </c>
      <c r="K363" t="s">
        <v>14</v>
      </c>
      <c r="L363" t="s">
        <v>26</v>
      </c>
      <c r="M363">
        <v>3</v>
      </c>
      <c r="N363">
        <f t="shared" si="30"/>
        <v>1800</v>
      </c>
      <c r="O363">
        <f t="shared" si="31"/>
        <v>1764</v>
      </c>
      <c r="P363" s="1">
        <f t="shared" si="32"/>
        <v>31.5</v>
      </c>
      <c r="Q363" s="1">
        <f t="shared" si="33"/>
        <v>0.46914450293607579</v>
      </c>
      <c r="R363" s="1">
        <f t="shared" si="34"/>
        <v>92.351095402966521</v>
      </c>
      <c r="S363" s="1">
        <f t="shared" si="35"/>
        <v>-1.6489045970334786</v>
      </c>
    </row>
    <row r="364" spans="1:19" x14ac:dyDescent="0.35">
      <c r="A364">
        <v>363</v>
      </c>
      <c r="B364" t="s">
        <v>25</v>
      </c>
      <c r="C364">
        <v>160</v>
      </c>
      <c r="D364" t="s">
        <v>13</v>
      </c>
      <c r="E364">
        <v>40</v>
      </c>
      <c r="F364">
        <v>1</v>
      </c>
      <c r="G364">
        <v>80</v>
      </c>
      <c r="H364">
        <v>392</v>
      </c>
      <c r="I364">
        <v>47</v>
      </c>
      <c r="J364">
        <v>4</v>
      </c>
      <c r="K364" t="s">
        <v>14</v>
      </c>
      <c r="L364" t="s">
        <v>26</v>
      </c>
      <c r="M364">
        <v>3</v>
      </c>
      <c r="N364">
        <f t="shared" si="30"/>
        <v>1800</v>
      </c>
      <c r="O364">
        <f t="shared" si="31"/>
        <v>1764</v>
      </c>
      <c r="P364" s="1">
        <f t="shared" si="32"/>
        <v>37.531914893617021</v>
      </c>
      <c r="Q364" s="1">
        <f t="shared" si="33"/>
        <v>0.39374627924992078</v>
      </c>
      <c r="R364" s="1">
        <f t="shared" si="34"/>
        <v>77.5089550703469</v>
      </c>
      <c r="S364" s="1">
        <f t="shared" si="35"/>
        <v>-2.4910449296530999</v>
      </c>
    </row>
    <row r="365" spans="1:19" x14ac:dyDescent="0.35">
      <c r="A365">
        <v>364</v>
      </c>
      <c r="B365" t="s">
        <v>25</v>
      </c>
      <c r="C365">
        <v>160</v>
      </c>
      <c r="D365" t="s">
        <v>13</v>
      </c>
      <c r="E365">
        <v>40</v>
      </c>
      <c r="F365">
        <v>1</v>
      </c>
      <c r="G365">
        <v>73</v>
      </c>
      <c r="H365">
        <v>315</v>
      </c>
      <c r="I365">
        <v>43</v>
      </c>
      <c r="J365">
        <v>4</v>
      </c>
      <c r="K365" t="s">
        <v>14</v>
      </c>
      <c r="L365" t="s">
        <v>26</v>
      </c>
      <c r="M365">
        <v>3</v>
      </c>
      <c r="N365">
        <f t="shared" si="30"/>
        <v>1800</v>
      </c>
      <c r="O365">
        <f t="shared" si="31"/>
        <v>1764</v>
      </c>
      <c r="P365" s="1">
        <f t="shared" si="32"/>
        <v>41.02325581395349</v>
      </c>
      <c r="Q365" s="1">
        <f t="shared" si="33"/>
        <v>0.36023595761162958</v>
      </c>
      <c r="R365" s="1">
        <f t="shared" si="34"/>
        <v>70.912448255849284</v>
      </c>
      <c r="S365" s="1">
        <f t="shared" si="35"/>
        <v>-2.0875517441507156</v>
      </c>
    </row>
    <row r="366" spans="1:19" x14ac:dyDescent="0.35">
      <c r="A366">
        <v>365</v>
      </c>
      <c r="B366" t="s">
        <v>25</v>
      </c>
      <c r="C366">
        <v>160</v>
      </c>
      <c r="D366" t="s">
        <v>13</v>
      </c>
      <c r="E366">
        <v>40</v>
      </c>
      <c r="F366">
        <v>1</v>
      </c>
      <c r="G366">
        <v>57</v>
      </c>
      <c r="H366">
        <v>547</v>
      </c>
      <c r="I366">
        <v>33</v>
      </c>
      <c r="J366">
        <v>4</v>
      </c>
      <c r="K366" t="s">
        <v>22</v>
      </c>
      <c r="L366" t="s">
        <v>26</v>
      </c>
      <c r="M366">
        <v>3</v>
      </c>
      <c r="N366">
        <f t="shared" si="30"/>
        <v>1800</v>
      </c>
      <c r="O366">
        <f t="shared" si="31"/>
        <v>1764</v>
      </c>
      <c r="P366" s="1">
        <f t="shared" si="32"/>
        <v>53.454545454545453</v>
      </c>
      <c r="Q366" s="1">
        <f t="shared" si="33"/>
        <v>0.27646015351590181</v>
      </c>
      <c r="R366" s="1">
        <f t="shared" si="34"/>
        <v>54.421181219605266</v>
      </c>
      <c r="S366" s="1">
        <f t="shared" si="35"/>
        <v>-2.5788187803947338</v>
      </c>
    </row>
    <row r="367" spans="1:19" x14ac:dyDescent="0.35">
      <c r="A367">
        <v>366</v>
      </c>
      <c r="B367" t="s">
        <v>25</v>
      </c>
      <c r="C367">
        <v>160</v>
      </c>
      <c r="D367" t="s">
        <v>13</v>
      </c>
      <c r="E367">
        <v>40</v>
      </c>
      <c r="F367">
        <v>1</v>
      </c>
      <c r="G367">
        <v>54</v>
      </c>
      <c r="H367">
        <v>561</v>
      </c>
      <c r="I367">
        <v>32</v>
      </c>
      <c r="J367">
        <v>4</v>
      </c>
      <c r="K367" t="s">
        <v>16</v>
      </c>
      <c r="L367" t="s">
        <v>26</v>
      </c>
      <c r="M367">
        <v>3</v>
      </c>
      <c r="N367">
        <f t="shared" si="30"/>
        <v>1800</v>
      </c>
      <c r="O367">
        <f t="shared" si="31"/>
        <v>1764</v>
      </c>
      <c r="P367" s="1">
        <f t="shared" si="32"/>
        <v>55.125</v>
      </c>
      <c r="Q367" s="1">
        <f t="shared" si="33"/>
        <v>0.26808257310632899</v>
      </c>
      <c r="R367" s="1">
        <f t="shared" si="34"/>
        <v>52.772054515980862</v>
      </c>
      <c r="S367" s="1">
        <f t="shared" si="35"/>
        <v>-1.2279454840191377</v>
      </c>
    </row>
    <row r="368" spans="1:19" x14ac:dyDescent="0.35">
      <c r="A368">
        <v>367</v>
      </c>
      <c r="B368" t="s">
        <v>25</v>
      </c>
      <c r="C368">
        <v>160</v>
      </c>
      <c r="D368" t="s">
        <v>13</v>
      </c>
      <c r="E368">
        <v>40</v>
      </c>
      <c r="F368">
        <v>1</v>
      </c>
      <c r="G368">
        <v>47</v>
      </c>
      <c r="H368">
        <v>489</v>
      </c>
      <c r="I368">
        <v>28</v>
      </c>
      <c r="J368">
        <v>4</v>
      </c>
      <c r="K368" t="s">
        <v>22</v>
      </c>
      <c r="L368" t="s">
        <v>26</v>
      </c>
      <c r="M368">
        <v>3</v>
      </c>
      <c r="N368">
        <f t="shared" si="30"/>
        <v>1800</v>
      </c>
      <c r="O368">
        <f t="shared" si="31"/>
        <v>1764</v>
      </c>
      <c r="P368" s="1">
        <f t="shared" si="32"/>
        <v>63</v>
      </c>
      <c r="Q368" s="1">
        <f t="shared" si="33"/>
        <v>0.2345722514680379</v>
      </c>
      <c r="R368" s="1">
        <f t="shared" si="34"/>
        <v>46.175547701483261</v>
      </c>
      <c r="S368" s="1">
        <f t="shared" si="35"/>
        <v>-0.82445229851673929</v>
      </c>
    </row>
    <row r="369" spans="1:19" x14ac:dyDescent="0.35">
      <c r="A369">
        <v>368</v>
      </c>
      <c r="B369" t="s">
        <v>25</v>
      </c>
      <c r="C369">
        <v>160</v>
      </c>
      <c r="D369" t="s">
        <v>13</v>
      </c>
      <c r="E369">
        <v>40</v>
      </c>
      <c r="F369">
        <v>1</v>
      </c>
      <c r="G369">
        <v>43</v>
      </c>
      <c r="H369">
        <v>525</v>
      </c>
      <c r="I369">
        <v>25</v>
      </c>
      <c r="J369">
        <v>4</v>
      </c>
      <c r="K369" t="s">
        <v>16</v>
      </c>
      <c r="L369" t="s">
        <v>26</v>
      </c>
      <c r="M369">
        <v>3</v>
      </c>
      <c r="N369">
        <f t="shared" si="30"/>
        <v>1800</v>
      </c>
      <c r="O369">
        <f t="shared" si="31"/>
        <v>1764</v>
      </c>
      <c r="P369" s="1">
        <f t="shared" si="32"/>
        <v>70.56</v>
      </c>
      <c r="Q369" s="1">
        <f t="shared" si="33"/>
        <v>0.20943951023931956</v>
      </c>
      <c r="R369" s="1">
        <f t="shared" si="34"/>
        <v>41.228167590610056</v>
      </c>
      <c r="S369" s="1">
        <f t="shared" si="35"/>
        <v>-1.771832409389944</v>
      </c>
    </row>
    <row r="370" spans="1:19" x14ac:dyDescent="0.35">
      <c r="A370">
        <v>369</v>
      </c>
      <c r="B370" t="s">
        <v>27</v>
      </c>
      <c r="C370">
        <v>215</v>
      </c>
      <c r="D370" t="s">
        <v>13</v>
      </c>
      <c r="E370">
        <v>40</v>
      </c>
      <c r="F370">
        <v>7.5</v>
      </c>
      <c r="G370">
        <v>1117</v>
      </c>
      <c r="H370">
        <v>198</v>
      </c>
      <c r="I370">
        <v>504</v>
      </c>
      <c r="J370">
        <v>2</v>
      </c>
      <c r="K370" t="s">
        <v>14</v>
      </c>
      <c r="L370" t="s">
        <v>28</v>
      </c>
      <c r="M370">
        <v>3</v>
      </c>
      <c r="N370">
        <f t="shared" si="30"/>
        <v>3600</v>
      </c>
      <c r="O370">
        <f t="shared" si="31"/>
        <v>3528</v>
      </c>
      <c r="P370" s="1">
        <f t="shared" si="32"/>
        <v>7</v>
      </c>
      <c r="Q370" s="1">
        <f t="shared" si="33"/>
        <v>5.6737163323831661</v>
      </c>
      <c r="R370" s="1">
        <f t="shared" si="34"/>
        <v>1116.8710600296263</v>
      </c>
      <c r="S370" s="1">
        <f t="shared" si="35"/>
        <v>-0.12893997037372174</v>
      </c>
    </row>
    <row r="371" spans="1:19" x14ac:dyDescent="0.35">
      <c r="A371">
        <v>370</v>
      </c>
      <c r="B371" t="s">
        <v>27</v>
      </c>
      <c r="C371">
        <v>215</v>
      </c>
      <c r="D371" t="s">
        <v>13</v>
      </c>
      <c r="E371">
        <v>40</v>
      </c>
      <c r="F371">
        <v>7.5</v>
      </c>
      <c r="G371">
        <v>912</v>
      </c>
      <c r="H371">
        <v>243</v>
      </c>
      <c r="I371">
        <v>412</v>
      </c>
      <c r="J371">
        <v>2</v>
      </c>
      <c r="K371" t="s">
        <v>14</v>
      </c>
      <c r="L371" t="s">
        <v>28</v>
      </c>
      <c r="M371">
        <v>3</v>
      </c>
      <c r="N371">
        <f t="shared" si="30"/>
        <v>3600</v>
      </c>
      <c r="O371">
        <f t="shared" si="31"/>
        <v>3528</v>
      </c>
      <c r="P371" s="1">
        <f t="shared" si="32"/>
        <v>8.5631067961165055</v>
      </c>
      <c r="Q371" s="1">
        <f t="shared" si="33"/>
        <v>4.6380379542497305</v>
      </c>
      <c r="R371" s="1">
        <f t="shared" si="34"/>
        <v>912.99777129405948</v>
      </c>
      <c r="S371" s="1">
        <f t="shared" si="35"/>
        <v>0.99777129405947562</v>
      </c>
    </row>
    <row r="372" spans="1:19" x14ac:dyDescent="0.35">
      <c r="A372">
        <v>371</v>
      </c>
      <c r="B372" t="s">
        <v>27</v>
      </c>
      <c r="C372">
        <v>215</v>
      </c>
      <c r="D372" t="s">
        <v>13</v>
      </c>
      <c r="E372">
        <v>40</v>
      </c>
      <c r="F372">
        <v>7.5</v>
      </c>
      <c r="G372">
        <v>821</v>
      </c>
      <c r="H372">
        <v>270</v>
      </c>
      <c r="I372">
        <v>371</v>
      </c>
      <c r="J372">
        <v>2</v>
      </c>
      <c r="K372" t="s">
        <v>14</v>
      </c>
      <c r="L372" t="s">
        <v>28</v>
      </c>
      <c r="M372">
        <v>3</v>
      </c>
      <c r="N372">
        <f t="shared" si="30"/>
        <v>3600</v>
      </c>
      <c r="O372">
        <f t="shared" si="31"/>
        <v>3528</v>
      </c>
      <c r="P372" s="1">
        <f t="shared" si="32"/>
        <v>9.5094339622641506</v>
      </c>
      <c r="Q372" s="1">
        <f t="shared" si="33"/>
        <v>4.1764856335598308</v>
      </c>
      <c r="R372" s="1">
        <f t="shared" si="34"/>
        <v>822.14119696625266</v>
      </c>
      <c r="S372" s="1">
        <f t="shared" si="35"/>
        <v>1.1411969662526644</v>
      </c>
    </row>
    <row r="373" spans="1:19" x14ac:dyDescent="0.35">
      <c r="A373">
        <v>372</v>
      </c>
      <c r="B373" t="s">
        <v>27</v>
      </c>
      <c r="C373">
        <v>215</v>
      </c>
      <c r="D373" t="s">
        <v>13</v>
      </c>
      <c r="E373">
        <v>40</v>
      </c>
      <c r="F373">
        <v>7.5</v>
      </c>
      <c r="G373">
        <v>657</v>
      </c>
      <c r="H373">
        <v>337</v>
      </c>
      <c r="I373">
        <v>297</v>
      </c>
      <c r="J373">
        <v>2</v>
      </c>
      <c r="K373" t="s">
        <v>14</v>
      </c>
      <c r="L373" t="s">
        <v>28</v>
      </c>
      <c r="M373">
        <v>3</v>
      </c>
      <c r="N373">
        <f t="shared" si="30"/>
        <v>3600</v>
      </c>
      <c r="O373">
        <f t="shared" si="31"/>
        <v>3528</v>
      </c>
      <c r="P373" s="1">
        <f t="shared" si="32"/>
        <v>11.878787878787879</v>
      </c>
      <c r="Q373" s="1">
        <f t="shared" si="33"/>
        <v>3.3434399815829376</v>
      </c>
      <c r="R373" s="1">
        <f t="shared" si="34"/>
        <v>658.15616037460131</v>
      </c>
      <c r="S373" s="1">
        <f t="shared" si="35"/>
        <v>1.1561603746013134</v>
      </c>
    </row>
    <row r="374" spans="1:19" x14ac:dyDescent="0.35">
      <c r="A374">
        <v>373</v>
      </c>
      <c r="B374" t="s">
        <v>27</v>
      </c>
      <c r="C374">
        <v>215</v>
      </c>
      <c r="D374" t="s">
        <v>13</v>
      </c>
      <c r="E374">
        <v>40</v>
      </c>
      <c r="F374">
        <v>7.5</v>
      </c>
      <c r="G374">
        <v>583</v>
      </c>
      <c r="H374">
        <v>285</v>
      </c>
      <c r="I374">
        <v>263</v>
      </c>
      <c r="J374">
        <v>2</v>
      </c>
      <c r="K374" t="s">
        <v>14</v>
      </c>
      <c r="L374" t="s">
        <v>28</v>
      </c>
      <c r="M374">
        <v>3</v>
      </c>
      <c r="N374">
        <f t="shared" si="30"/>
        <v>3600</v>
      </c>
      <c r="O374">
        <f t="shared" si="31"/>
        <v>3528</v>
      </c>
      <c r="P374" s="1">
        <f t="shared" si="32"/>
        <v>13.414448669201521</v>
      </c>
      <c r="Q374" s="1">
        <f t="shared" si="33"/>
        <v>2.960689276620581</v>
      </c>
      <c r="R374" s="1">
        <f t="shared" si="34"/>
        <v>582.81168410276132</v>
      </c>
      <c r="S374" s="1">
        <f t="shared" si="35"/>
        <v>-0.18831589723868092</v>
      </c>
    </row>
    <row r="375" spans="1:19" x14ac:dyDescent="0.35">
      <c r="A375">
        <v>374</v>
      </c>
      <c r="B375" t="s">
        <v>27</v>
      </c>
      <c r="C375">
        <v>215</v>
      </c>
      <c r="D375" t="s">
        <v>13</v>
      </c>
      <c r="E375">
        <v>40</v>
      </c>
      <c r="F375">
        <v>7.5</v>
      </c>
      <c r="G375">
        <v>547</v>
      </c>
      <c r="H375">
        <v>405</v>
      </c>
      <c r="I375">
        <v>247</v>
      </c>
      <c r="J375">
        <v>2</v>
      </c>
      <c r="K375" t="s">
        <v>22</v>
      </c>
      <c r="L375" t="s">
        <v>28</v>
      </c>
      <c r="M375">
        <v>3</v>
      </c>
      <c r="N375">
        <f t="shared" si="30"/>
        <v>3600</v>
      </c>
      <c r="O375">
        <f t="shared" si="31"/>
        <v>3528</v>
      </c>
      <c r="P375" s="1">
        <f t="shared" si="32"/>
        <v>14.2834008097166</v>
      </c>
      <c r="Q375" s="1">
        <f t="shared" si="33"/>
        <v>2.7805712978147659</v>
      </c>
      <c r="R375" s="1">
        <f t="shared" si="34"/>
        <v>547.35545997483666</v>
      </c>
      <c r="S375" s="1">
        <f t="shared" si="35"/>
        <v>0.3554599748366627</v>
      </c>
    </row>
    <row r="376" spans="1:19" x14ac:dyDescent="0.35">
      <c r="A376">
        <v>375</v>
      </c>
      <c r="B376" t="s">
        <v>27</v>
      </c>
      <c r="C376">
        <v>215</v>
      </c>
      <c r="D376" t="s">
        <v>13</v>
      </c>
      <c r="E376">
        <v>40</v>
      </c>
      <c r="F376">
        <v>7.5</v>
      </c>
      <c r="G376">
        <v>465</v>
      </c>
      <c r="H376">
        <v>476</v>
      </c>
      <c r="I376">
        <v>210</v>
      </c>
      <c r="J376">
        <v>2</v>
      </c>
      <c r="K376" t="s">
        <v>14</v>
      </c>
      <c r="L376" t="s">
        <v>28</v>
      </c>
      <c r="M376">
        <v>3</v>
      </c>
      <c r="N376">
        <f t="shared" si="30"/>
        <v>3600</v>
      </c>
      <c r="O376">
        <f t="shared" si="31"/>
        <v>3528</v>
      </c>
      <c r="P376" s="1">
        <f t="shared" si="32"/>
        <v>16.8</v>
      </c>
      <c r="Q376" s="1">
        <f t="shared" si="33"/>
        <v>2.3640484718263193</v>
      </c>
      <c r="R376" s="1">
        <f t="shared" si="34"/>
        <v>465.36294167901093</v>
      </c>
      <c r="S376" s="1">
        <f t="shared" si="35"/>
        <v>0.36294167901093033</v>
      </c>
    </row>
    <row r="377" spans="1:19" x14ac:dyDescent="0.35">
      <c r="A377">
        <v>376</v>
      </c>
      <c r="B377" t="s">
        <v>27</v>
      </c>
      <c r="C377">
        <v>215</v>
      </c>
      <c r="D377" t="s">
        <v>13</v>
      </c>
      <c r="E377">
        <v>40</v>
      </c>
      <c r="F377">
        <v>7.5</v>
      </c>
      <c r="G377">
        <v>403</v>
      </c>
      <c r="H377">
        <v>549</v>
      </c>
      <c r="I377">
        <v>182</v>
      </c>
      <c r="J377">
        <v>2</v>
      </c>
      <c r="K377" t="s">
        <v>14</v>
      </c>
      <c r="L377" t="s">
        <v>28</v>
      </c>
      <c r="M377">
        <v>3</v>
      </c>
      <c r="N377">
        <f t="shared" si="30"/>
        <v>3600</v>
      </c>
      <c r="O377">
        <f t="shared" si="31"/>
        <v>3528</v>
      </c>
      <c r="P377" s="1">
        <f t="shared" si="32"/>
        <v>19.384615384615383</v>
      </c>
      <c r="Q377" s="1">
        <f t="shared" si="33"/>
        <v>2.0488420089161434</v>
      </c>
      <c r="R377" s="1">
        <f t="shared" si="34"/>
        <v>403.31454945514281</v>
      </c>
      <c r="S377" s="1">
        <f t="shared" si="35"/>
        <v>0.31454945514281007</v>
      </c>
    </row>
    <row r="378" spans="1:19" x14ac:dyDescent="0.35">
      <c r="A378">
        <v>377</v>
      </c>
      <c r="B378" t="s">
        <v>27</v>
      </c>
      <c r="C378">
        <v>215</v>
      </c>
      <c r="D378" t="s">
        <v>13</v>
      </c>
      <c r="E378">
        <v>40</v>
      </c>
      <c r="F378">
        <v>7.5</v>
      </c>
      <c r="G378">
        <v>358</v>
      </c>
      <c r="H378">
        <v>618</v>
      </c>
      <c r="I378">
        <v>162</v>
      </c>
      <c r="J378">
        <v>2</v>
      </c>
      <c r="K378" t="s">
        <v>14</v>
      </c>
      <c r="L378" t="s">
        <v>28</v>
      </c>
      <c r="M378">
        <v>3</v>
      </c>
      <c r="N378">
        <f t="shared" si="30"/>
        <v>3600</v>
      </c>
      <c r="O378">
        <f t="shared" si="31"/>
        <v>3528</v>
      </c>
      <c r="P378" s="1">
        <f t="shared" si="32"/>
        <v>21.777777777777779</v>
      </c>
      <c r="Q378" s="1">
        <f t="shared" si="33"/>
        <v>1.8236945354088749</v>
      </c>
      <c r="R378" s="1">
        <f t="shared" si="34"/>
        <v>358.99426929523702</v>
      </c>
      <c r="S378" s="1">
        <f t="shared" si="35"/>
        <v>0.99426929523701801</v>
      </c>
    </row>
    <row r="379" spans="1:19" x14ac:dyDescent="0.35">
      <c r="A379">
        <v>378</v>
      </c>
      <c r="B379" t="s">
        <v>27</v>
      </c>
      <c r="C379">
        <v>215</v>
      </c>
      <c r="D379" t="s">
        <v>13</v>
      </c>
      <c r="E379">
        <v>40</v>
      </c>
      <c r="F379">
        <v>7.5</v>
      </c>
      <c r="G379">
        <v>335</v>
      </c>
      <c r="H379">
        <v>662</v>
      </c>
      <c r="I379">
        <v>151</v>
      </c>
      <c r="J379">
        <v>2</v>
      </c>
      <c r="K379" t="s">
        <v>14</v>
      </c>
      <c r="L379" t="s">
        <v>28</v>
      </c>
      <c r="M379">
        <v>3</v>
      </c>
      <c r="N379">
        <f t="shared" si="30"/>
        <v>3600</v>
      </c>
      <c r="O379">
        <f t="shared" si="31"/>
        <v>3528</v>
      </c>
      <c r="P379" s="1">
        <f t="shared" si="32"/>
        <v>23.364238410596027</v>
      </c>
      <c r="Q379" s="1">
        <f t="shared" si="33"/>
        <v>1.699863424979877</v>
      </c>
      <c r="R379" s="1">
        <f t="shared" si="34"/>
        <v>334.61811520728878</v>
      </c>
      <c r="S379" s="1">
        <f t="shared" si="35"/>
        <v>-0.38188479271121878</v>
      </c>
    </row>
    <row r="380" spans="1:19" x14ac:dyDescent="0.35">
      <c r="A380">
        <v>379</v>
      </c>
      <c r="B380" t="s">
        <v>27</v>
      </c>
      <c r="C380">
        <v>215</v>
      </c>
      <c r="D380" t="s">
        <v>13</v>
      </c>
      <c r="E380">
        <v>40</v>
      </c>
      <c r="F380">
        <v>7.5</v>
      </c>
      <c r="G380">
        <v>310</v>
      </c>
      <c r="H380">
        <v>715</v>
      </c>
      <c r="I380">
        <v>140</v>
      </c>
      <c r="J380">
        <v>2</v>
      </c>
      <c r="K380" t="s">
        <v>14</v>
      </c>
      <c r="L380" t="s">
        <v>28</v>
      </c>
      <c r="M380">
        <v>3</v>
      </c>
      <c r="N380">
        <f t="shared" si="30"/>
        <v>3600</v>
      </c>
      <c r="O380">
        <f t="shared" si="31"/>
        <v>3528</v>
      </c>
      <c r="P380" s="1">
        <f t="shared" si="32"/>
        <v>25.2</v>
      </c>
      <c r="Q380" s="1">
        <f t="shared" si="33"/>
        <v>1.5760323145508794</v>
      </c>
      <c r="R380" s="1">
        <f t="shared" si="34"/>
        <v>310.2419611193406</v>
      </c>
      <c r="S380" s="1">
        <f t="shared" si="35"/>
        <v>0.24196111934060127</v>
      </c>
    </row>
    <row r="381" spans="1:19" x14ac:dyDescent="0.35">
      <c r="A381">
        <v>380</v>
      </c>
      <c r="B381" t="s">
        <v>27</v>
      </c>
      <c r="C381">
        <v>215</v>
      </c>
      <c r="D381" t="s">
        <v>13</v>
      </c>
      <c r="E381">
        <v>40</v>
      </c>
      <c r="F381">
        <v>7.5</v>
      </c>
      <c r="G381">
        <v>255</v>
      </c>
      <c r="H381">
        <v>651</v>
      </c>
      <c r="I381">
        <v>115</v>
      </c>
      <c r="J381">
        <v>2</v>
      </c>
      <c r="K381" t="s">
        <v>14</v>
      </c>
      <c r="L381" t="s">
        <v>28</v>
      </c>
      <c r="M381">
        <v>3</v>
      </c>
      <c r="N381">
        <f t="shared" si="30"/>
        <v>3600</v>
      </c>
      <c r="O381">
        <f t="shared" si="31"/>
        <v>3528</v>
      </c>
      <c r="P381" s="1">
        <f t="shared" si="32"/>
        <v>30.678260869565218</v>
      </c>
      <c r="Q381" s="1">
        <f t="shared" si="33"/>
        <v>1.294597972666794</v>
      </c>
      <c r="R381" s="1">
        <f t="shared" si="34"/>
        <v>254.84161091945839</v>
      </c>
      <c r="S381" s="1">
        <f t="shared" si="35"/>
        <v>-0.15838908054161038</v>
      </c>
    </row>
    <row r="382" spans="1:19" x14ac:dyDescent="0.35">
      <c r="A382">
        <v>381</v>
      </c>
      <c r="B382" t="s">
        <v>27</v>
      </c>
      <c r="C382">
        <v>215</v>
      </c>
      <c r="D382" t="s">
        <v>13</v>
      </c>
      <c r="E382">
        <v>40</v>
      </c>
      <c r="F382">
        <v>7.5</v>
      </c>
      <c r="G382">
        <v>228</v>
      </c>
      <c r="H382">
        <v>972</v>
      </c>
      <c r="I382">
        <v>103</v>
      </c>
      <c r="J382">
        <v>2</v>
      </c>
      <c r="K382" t="s">
        <v>22</v>
      </c>
      <c r="L382" t="s">
        <v>28</v>
      </c>
      <c r="M382">
        <v>3</v>
      </c>
      <c r="N382">
        <f t="shared" si="30"/>
        <v>3600</v>
      </c>
      <c r="O382">
        <f t="shared" si="31"/>
        <v>3528</v>
      </c>
      <c r="P382" s="1">
        <f t="shared" si="32"/>
        <v>34.252427184466022</v>
      </c>
      <c r="Q382" s="1">
        <f t="shared" si="33"/>
        <v>1.1595094885624326</v>
      </c>
      <c r="R382" s="1">
        <f t="shared" si="34"/>
        <v>228.24944282351487</v>
      </c>
      <c r="S382" s="1">
        <f t="shared" si="35"/>
        <v>0.24944282351486891</v>
      </c>
    </row>
    <row r="383" spans="1:19" x14ac:dyDescent="0.35">
      <c r="A383">
        <v>382</v>
      </c>
      <c r="B383" t="s">
        <v>27</v>
      </c>
      <c r="C383">
        <v>215</v>
      </c>
      <c r="D383" t="s">
        <v>13</v>
      </c>
      <c r="E383">
        <v>40</v>
      </c>
      <c r="F383">
        <v>5</v>
      </c>
      <c r="G383">
        <v>1117</v>
      </c>
      <c r="H383">
        <v>145</v>
      </c>
      <c r="I383">
        <v>503</v>
      </c>
      <c r="J383">
        <v>2</v>
      </c>
      <c r="K383" t="s">
        <v>14</v>
      </c>
      <c r="L383" t="s">
        <v>28</v>
      </c>
      <c r="M383">
        <v>3</v>
      </c>
      <c r="N383">
        <f t="shared" si="30"/>
        <v>3600</v>
      </c>
      <c r="O383">
        <f t="shared" si="31"/>
        <v>3528</v>
      </c>
      <c r="P383" s="1">
        <f t="shared" si="32"/>
        <v>7.0139165009940356</v>
      </c>
      <c r="Q383" s="1">
        <f t="shared" si="33"/>
        <v>5.6624589587078029</v>
      </c>
      <c r="R383" s="1">
        <f t="shared" si="34"/>
        <v>1114.6550460216311</v>
      </c>
      <c r="S383" s="1">
        <f t="shared" si="35"/>
        <v>-2.3449539783689488</v>
      </c>
    </row>
    <row r="384" spans="1:19" x14ac:dyDescent="0.35">
      <c r="A384">
        <v>383</v>
      </c>
      <c r="B384" t="s">
        <v>27</v>
      </c>
      <c r="C384">
        <v>215</v>
      </c>
      <c r="D384" t="s">
        <v>13</v>
      </c>
      <c r="E384">
        <v>40</v>
      </c>
      <c r="F384">
        <v>5</v>
      </c>
      <c r="G384">
        <v>912</v>
      </c>
      <c r="H384">
        <v>178</v>
      </c>
      <c r="I384">
        <v>411</v>
      </c>
      <c r="J384">
        <v>2</v>
      </c>
      <c r="K384" t="s">
        <v>14</v>
      </c>
      <c r="L384" t="s">
        <v>28</v>
      </c>
      <c r="M384">
        <v>3</v>
      </c>
      <c r="N384">
        <f t="shared" si="30"/>
        <v>3600</v>
      </c>
      <c r="O384">
        <f t="shared" si="31"/>
        <v>3528</v>
      </c>
      <c r="P384" s="1">
        <f t="shared" si="32"/>
        <v>8.5839416058394153</v>
      </c>
      <c r="Q384" s="1">
        <f t="shared" si="33"/>
        <v>4.6267805805743683</v>
      </c>
      <c r="R384" s="1">
        <f t="shared" si="34"/>
        <v>910.78175728606436</v>
      </c>
      <c r="S384" s="1">
        <f t="shared" si="35"/>
        <v>-1.2182427139356378</v>
      </c>
    </row>
    <row r="385" spans="1:19" x14ac:dyDescent="0.35">
      <c r="A385">
        <v>384</v>
      </c>
      <c r="B385" t="s">
        <v>27</v>
      </c>
      <c r="C385">
        <v>215</v>
      </c>
      <c r="D385" t="s">
        <v>13</v>
      </c>
      <c r="E385">
        <v>40</v>
      </c>
      <c r="F385">
        <v>5</v>
      </c>
      <c r="G385">
        <v>821</v>
      </c>
      <c r="H385">
        <v>198</v>
      </c>
      <c r="I385">
        <v>370</v>
      </c>
      <c r="J385">
        <v>2</v>
      </c>
      <c r="K385" t="s">
        <v>14</v>
      </c>
      <c r="L385" t="s">
        <v>28</v>
      </c>
      <c r="M385">
        <v>3</v>
      </c>
      <c r="N385">
        <f t="shared" si="30"/>
        <v>3600</v>
      </c>
      <c r="O385">
        <f t="shared" si="31"/>
        <v>3528</v>
      </c>
      <c r="P385" s="1">
        <f t="shared" si="32"/>
        <v>9.5351351351351354</v>
      </c>
      <c r="Q385" s="1">
        <f t="shared" si="33"/>
        <v>4.1652282598844668</v>
      </c>
      <c r="R385" s="1">
        <f t="shared" si="34"/>
        <v>819.92518295825721</v>
      </c>
      <c r="S385" s="1">
        <f t="shared" si="35"/>
        <v>-1.07481704174279</v>
      </c>
    </row>
    <row r="386" spans="1:19" x14ac:dyDescent="0.35">
      <c r="A386">
        <v>385</v>
      </c>
      <c r="B386" t="s">
        <v>27</v>
      </c>
      <c r="C386">
        <v>215</v>
      </c>
      <c r="D386" t="s">
        <v>13</v>
      </c>
      <c r="E386">
        <v>40</v>
      </c>
      <c r="F386">
        <v>5</v>
      </c>
      <c r="G386">
        <v>657</v>
      </c>
      <c r="H386">
        <v>247</v>
      </c>
      <c r="I386">
        <v>296</v>
      </c>
      <c r="J386">
        <v>2</v>
      </c>
      <c r="K386" t="s">
        <v>14</v>
      </c>
      <c r="L386" t="s">
        <v>28</v>
      </c>
      <c r="M386">
        <v>3</v>
      </c>
      <c r="N386">
        <f t="shared" si="30"/>
        <v>3600</v>
      </c>
      <c r="O386">
        <f t="shared" si="31"/>
        <v>3528</v>
      </c>
      <c r="P386" s="1">
        <f t="shared" si="32"/>
        <v>11.918918918918919</v>
      </c>
      <c r="Q386" s="1">
        <f t="shared" si="33"/>
        <v>3.332182607907574</v>
      </c>
      <c r="R386" s="1">
        <f t="shared" si="34"/>
        <v>655.94014636660597</v>
      </c>
      <c r="S386" s="1">
        <f t="shared" si="35"/>
        <v>-1.0598536333940274</v>
      </c>
    </row>
    <row r="387" spans="1:19" x14ac:dyDescent="0.35">
      <c r="A387">
        <v>386</v>
      </c>
      <c r="B387" t="s">
        <v>27</v>
      </c>
      <c r="C387">
        <v>215</v>
      </c>
      <c r="D387" t="s">
        <v>13</v>
      </c>
      <c r="E387">
        <v>40</v>
      </c>
      <c r="F387">
        <v>5</v>
      </c>
      <c r="G387">
        <v>583</v>
      </c>
      <c r="H387">
        <v>278</v>
      </c>
      <c r="I387">
        <v>263</v>
      </c>
      <c r="J387">
        <v>2</v>
      </c>
      <c r="K387" t="s">
        <v>14</v>
      </c>
      <c r="L387" t="s">
        <v>28</v>
      </c>
      <c r="M387">
        <v>3</v>
      </c>
      <c r="N387">
        <f t="shared" ref="N387:N450" si="36">60*60*2/J387</f>
        <v>3600</v>
      </c>
      <c r="O387">
        <f t="shared" ref="O387:O450" si="37">N387*(1-0.02)</f>
        <v>3528</v>
      </c>
      <c r="P387" s="1">
        <f t="shared" ref="P387:P450" si="38">O387/I387</f>
        <v>13.414448669201521</v>
      </c>
      <c r="Q387" s="1">
        <f t="shared" ref="Q387:Q450" si="39">(I387*2*PI()/60)*(C387/2000)</f>
        <v>2.960689276620581</v>
      </c>
      <c r="R387" s="1">
        <f t="shared" ref="R387:R450" si="40">Q387*196.85</f>
        <v>582.81168410276132</v>
      </c>
      <c r="S387" s="1">
        <f t="shared" ref="S387:S450" si="41">R387-G387</f>
        <v>-0.18831589723868092</v>
      </c>
    </row>
    <row r="388" spans="1:19" x14ac:dyDescent="0.35">
      <c r="A388">
        <v>387</v>
      </c>
      <c r="B388" t="s">
        <v>27</v>
      </c>
      <c r="C388">
        <v>215</v>
      </c>
      <c r="D388" t="s">
        <v>13</v>
      </c>
      <c r="E388">
        <v>40</v>
      </c>
      <c r="F388">
        <v>5</v>
      </c>
      <c r="G388">
        <v>547</v>
      </c>
      <c r="H388">
        <v>297</v>
      </c>
      <c r="I388">
        <v>246</v>
      </c>
      <c r="J388">
        <v>2</v>
      </c>
      <c r="K388" t="s">
        <v>22</v>
      </c>
      <c r="L388" t="s">
        <v>28</v>
      </c>
      <c r="M388">
        <v>3</v>
      </c>
      <c r="N388">
        <f t="shared" si="36"/>
        <v>3600</v>
      </c>
      <c r="O388">
        <f t="shared" si="37"/>
        <v>3528</v>
      </c>
      <c r="P388" s="1">
        <f t="shared" si="38"/>
        <v>14.341463414634147</v>
      </c>
      <c r="Q388" s="1">
        <f t="shared" si="39"/>
        <v>2.7693139241394027</v>
      </c>
      <c r="R388" s="1">
        <f t="shared" si="40"/>
        <v>545.13944596684144</v>
      </c>
      <c r="S388" s="1">
        <f t="shared" si="41"/>
        <v>-1.8605540331585644</v>
      </c>
    </row>
    <row r="389" spans="1:19" x14ac:dyDescent="0.35">
      <c r="A389">
        <v>388</v>
      </c>
      <c r="B389" t="s">
        <v>27</v>
      </c>
      <c r="C389">
        <v>215</v>
      </c>
      <c r="D389" t="s">
        <v>13</v>
      </c>
      <c r="E389">
        <v>40</v>
      </c>
      <c r="F389">
        <v>5</v>
      </c>
      <c r="G389">
        <v>465</v>
      </c>
      <c r="H389">
        <v>349</v>
      </c>
      <c r="I389">
        <v>209</v>
      </c>
      <c r="J389">
        <v>2</v>
      </c>
      <c r="K389" t="s">
        <v>14</v>
      </c>
      <c r="L389" t="s">
        <v>28</v>
      </c>
      <c r="M389">
        <v>3</v>
      </c>
      <c r="N389">
        <f t="shared" si="36"/>
        <v>3600</v>
      </c>
      <c r="O389">
        <f t="shared" si="37"/>
        <v>3528</v>
      </c>
      <c r="P389" s="1">
        <f t="shared" si="38"/>
        <v>16.880382775119617</v>
      </c>
      <c r="Q389" s="1">
        <f t="shared" si="39"/>
        <v>2.3527910981509561</v>
      </c>
      <c r="R389" s="1">
        <f t="shared" si="40"/>
        <v>463.1469276710157</v>
      </c>
      <c r="S389" s="1">
        <f t="shared" si="41"/>
        <v>-1.8530723289842967</v>
      </c>
    </row>
    <row r="390" spans="1:19" x14ac:dyDescent="0.35">
      <c r="A390">
        <v>389</v>
      </c>
      <c r="B390" t="s">
        <v>27</v>
      </c>
      <c r="C390">
        <v>215</v>
      </c>
      <c r="D390" t="s">
        <v>13</v>
      </c>
      <c r="E390">
        <v>40</v>
      </c>
      <c r="F390">
        <v>5</v>
      </c>
      <c r="G390">
        <v>403</v>
      </c>
      <c r="H390">
        <v>402</v>
      </c>
      <c r="I390">
        <v>182</v>
      </c>
      <c r="J390">
        <v>2</v>
      </c>
      <c r="K390" t="s">
        <v>14</v>
      </c>
      <c r="L390" t="s">
        <v>28</v>
      </c>
      <c r="M390">
        <v>3</v>
      </c>
      <c r="N390">
        <f t="shared" si="36"/>
        <v>3600</v>
      </c>
      <c r="O390">
        <f t="shared" si="37"/>
        <v>3528</v>
      </c>
      <c r="P390" s="1">
        <f t="shared" si="38"/>
        <v>19.384615384615383</v>
      </c>
      <c r="Q390" s="1">
        <f t="shared" si="39"/>
        <v>2.0488420089161434</v>
      </c>
      <c r="R390" s="1">
        <f t="shared" si="40"/>
        <v>403.31454945514281</v>
      </c>
      <c r="S390" s="1">
        <f t="shared" si="41"/>
        <v>0.31454945514281007</v>
      </c>
    </row>
    <row r="391" spans="1:19" x14ac:dyDescent="0.35">
      <c r="A391">
        <v>390</v>
      </c>
      <c r="B391" t="s">
        <v>27</v>
      </c>
      <c r="C391">
        <v>215</v>
      </c>
      <c r="D391" t="s">
        <v>13</v>
      </c>
      <c r="E391">
        <v>40</v>
      </c>
      <c r="F391">
        <v>5</v>
      </c>
      <c r="G391">
        <v>358</v>
      </c>
      <c r="H391">
        <v>453</v>
      </c>
      <c r="I391">
        <v>161</v>
      </c>
      <c r="J391">
        <v>2</v>
      </c>
      <c r="K391" t="s">
        <v>14</v>
      </c>
      <c r="L391" t="s">
        <v>28</v>
      </c>
      <c r="M391">
        <v>3</v>
      </c>
      <c r="N391">
        <f t="shared" si="36"/>
        <v>3600</v>
      </c>
      <c r="O391">
        <f t="shared" si="37"/>
        <v>3528</v>
      </c>
      <c r="P391" s="1">
        <f t="shared" si="38"/>
        <v>21.913043478260871</v>
      </c>
      <c r="Q391" s="1">
        <f t="shared" si="39"/>
        <v>1.8124371617335113</v>
      </c>
      <c r="R391" s="1">
        <f t="shared" si="40"/>
        <v>356.77825528724168</v>
      </c>
      <c r="S391" s="1">
        <f t="shared" si="41"/>
        <v>-1.2217447127583227</v>
      </c>
    </row>
    <row r="392" spans="1:19" x14ac:dyDescent="0.35">
      <c r="A392">
        <v>391</v>
      </c>
      <c r="B392" t="s">
        <v>27</v>
      </c>
      <c r="C392">
        <v>215</v>
      </c>
      <c r="D392" t="s">
        <v>13</v>
      </c>
      <c r="E392">
        <v>40</v>
      </c>
      <c r="F392">
        <v>5</v>
      </c>
      <c r="G392">
        <v>335</v>
      </c>
      <c r="H392">
        <v>485</v>
      </c>
      <c r="I392">
        <v>151</v>
      </c>
      <c r="J392">
        <v>2</v>
      </c>
      <c r="K392" t="s">
        <v>14</v>
      </c>
      <c r="L392" t="s">
        <v>28</v>
      </c>
      <c r="M392">
        <v>3</v>
      </c>
      <c r="N392">
        <f t="shared" si="36"/>
        <v>3600</v>
      </c>
      <c r="O392">
        <f t="shared" si="37"/>
        <v>3528</v>
      </c>
      <c r="P392" s="1">
        <f t="shared" si="38"/>
        <v>23.364238410596027</v>
      </c>
      <c r="Q392" s="1">
        <f t="shared" si="39"/>
        <v>1.699863424979877</v>
      </c>
      <c r="R392" s="1">
        <f t="shared" si="40"/>
        <v>334.61811520728878</v>
      </c>
      <c r="S392" s="1">
        <f t="shared" si="41"/>
        <v>-0.38188479271121878</v>
      </c>
    </row>
    <row r="393" spans="1:19" x14ac:dyDescent="0.35">
      <c r="A393">
        <v>392</v>
      </c>
      <c r="B393" t="s">
        <v>27</v>
      </c>
      <c r="C393">
        <v>215</v>
      </c>
      <c r="D393" t="s">
        <v>13</v>
      </c>
      <c r="E393">
        <v>40</v>
      </c>
      <c r="F393">
        <v>5</v>
      </c>
      <c r="G393">
        <v>310</v>
      </c>
      <c r="H393">
        <v>524</v>
      </c>
      <c r="I393">
        <v>140</v>
      </c>
      <c r="J393">
        <v>2</v>
      </c>
      <c r="K393" t="s">
        <v>14</v>
      </c>
      <c r="L393" t="s">
        <v>28</v>
      </c>
      <c r="M393">
        <v>3</v>
      </c>
      <c r="N393">
        <f t="shared" si="36"/>
        <v>3600</v>
      </c>
      <c r="O393">
        <f t="shared" si="37"/>
        <v>3528</v>
      </c>
      <c r="P393" s="1">
        <f t="shared" si="38"/>
        <v>25.2</v>
      </c>
      <c r="Q393" s="1">
        <f t="shared" si="39"/>
        <v>1.5760323145508794</v>
      </c>
      <c r="R393" s="1">
        <f t="shared" si="40"/>
        <v>310.2419611193406</v>
      </c>
      <c r="S393" s="1">
        <f t="shared" si="41"/>
        <v>0.24196111934060127</v>
      </c>
    </row>
    <row r="394" spans="1:19" x14ac:dyDescent="0.35">
      <c r="A394">
        <v>393</v>
      </c>
      <c r="B394" t="s">
        <v>27</v>
      </c>
      <c r="C394">
        <v>215</v>
      </c>
      <c r="D394" t="s">
        <v>13</v>
      </c>
      <c r="E394">
        <v>40</v>
      </c>
      <c r="F394">
        <v>5</v>
      </c>
      <c r="G394">
        <v>275</v>
      </c>
      <c r="H394">
        <v>521</v>
      </c>
      <c r="I394">
        <v>124</v>
      </c>
      <c r="J394">
        <v>4</v>
      </c>
      <c r="K394" t="s">
        <v>22</v>
      </c>
      <c r="L394" t="s">
        <v>28</v>
      </c>
      <c r="M394">
        <v>3</v>
      </c>
      <c r="N394">
        <f t="shared" si="36"/>
        <v>1800</v>
      </c>
      <c r="O394">
        <f t="shared" si="37"/>
        <v>1764</v>
      </c>
      <c r="P394" s="1">
        <f t="shared" si="38"/>
        <v>14.225806451612904</v>
      </c>
      <c r="Q394" s="1">
        <f t="shared" si="39"/>
        <v>1.3959143357450645</v>
      </c>
      <c r="R394" s="1">
        <f t="shared" si="40"/>
        <v>274.78573699141594</v>
      </c>
      <c r="S394" s="1">
        <f t="shared" si="41"/>
        <v>-0.21426300858405511</v>
      </c>
    </row>
    <row r="395" spans="1:19" x14ac:dyDescent="0.35">
      <c r="A395">
        <v>394</v>
      </c>
      <c r="B395" t="s">
        <v>27</v>
      </c>
      <c r="C395">
        <v>215</v>
      </c>
      <c r="D395" t="s">
        <v>13</v>
      </c>
      <c r="E395">
        <v>40</v>
      </c>
      <c r="F395">
        <v>5</v>
      </c>
      <c r="G395">
        <v>255</v>
      </c>
      <c r="H395">
        <v>636</v>
      </c>
      <c r="I395">
        <v>115</v>
      </c>
      <c r="J395">
        <v>2</v>
      </c>
      <c r="K395" t="s">
        <v>14</v>
      </c>
      <c r="L395" t="s">
        <v>28</v>
      </c>
      <c r="M395">
        <v>3</v>
      </c>
      <c r="N395">
        <f t="shared" si="36"/>
        <v>3600</v>
      </c>
      <c r="O395">
        <f t="shared" si="37"/>
        <v>3528</v>
      </c>
      <c r="P395" s="1">
        <f t="shared" si="38"/>
        <v>30.678260869565218</v>
      </c>
      <c r="Q395" s="1">
        <f t="shared" si="39"/>
        <v>1.294597972666794</v>
      </c>
      <c r="R395" s="1">
        <f t="shared" si="40"/>
        <v>254.84161091945839</v>
      </c>
      <c r="S395" s="1">
        <f t="shared" si="41"/>
        <v>-0.15838908054161038</v>
      </c>
    </row>
    <row r="396" spans="1:19" x14ac:dyDescent="0.35">
      <c r="A396">
        <v>395</v>
      </c>
      <c r="B396" t="s">
        <v>27</v>
      </c>
      <c r="C396">
        <v>215</v>
      </c>
      <c r="D396" t="s">
        <v>13</v>
      </c>
      <c r="E396">
        <v>40</v>
      </c>
      <c r="F396">
        <v>5</v>
      </c>
      <c r="G396">
        <v>238</v>
      </c>
      <c r="H396">
        <v>681</v>
      </c>
      <c r="I396">
        <v>107</v>
      </c>
      <c r="J396">
        <v>2</v>
      </c>
      <c r="K396" t="s">
        <v>14</v>
      </c>
      <c r="L396" t="s">
        <v>28</v>
      </c>
      <c r="M396">
        <v>3</v>
      </c>
      <c r="N396">
        <f t="shared" si="36"/>
        <v>3600</v>
      </c>
      <c r="O396">
        <f t="shared" si="37"/>
        <v>3528</v>
      </c>
      <c r="P396" s="1">
        <f t="shared" si="38"/>
        <v>32.971962616822431</v>
      </c>
      <c r="Q396" s="1">
        <f t="shared" si="39"/>
        <v>1.2045389832638864</v>
      </c>
      <c r="R396" s="1">
        <f t="shared" si="40"/>
        <v>237.11349885549603</v>
      </c>
      <c r="S396" s="1">
        <f t="shared" si="41"/>
        <v>-0.886501144503967</v>
      </c>
    </row>
    <row r="397" spans="1:19" x14ac:dyDescent="0.35">
      <c r="A397">
        <v>396</v>
      </c>
      <c r="B397" t="s">
        <v>27</v>
      </c>
      <c r="C397">
        <v>215</v>
      </c>
      <c r="D397" t="s">
        <v>13</v>
      </c>
      <c r="E397">
        <v>40</v>
      </c>
      <c r="F397">
        <v>5</v>
      </c>
      <c r="G397">
        <v>234</v>
      </c>
      <c r="H397">
        <v>613</v>
      </c>
      <c r="I397">
        <v>105</v>
      </c>
      <c r="J397">
        <v>4</v>
      </c>
      <c r="K397" t="s">
        <v>14</v>
      </c>
      <c r="L397" t="s">
        <v>28</v>
      </c>
      <c r="M397">
        <v>3</v>
      </c>
      <c r="N397">
        <f t="shared" si="36"/>
        <v>1800</v>
      </c>
      <c r="O397">
        <f t="shared" si="37"/>
        <v>1764</v>
      </c>
      <c r="P397" s="1">
        <f t="shared" si="38"/>
        <v>16.8</v>
      </c>
      <c r="Q397" s="1">
        <f t="shared" si="39"/>
        <v>1.1820242359131596</v>
      </c>
      <c r="R397" s="1">
        <f t="shared" si="40"/>
        <v>232.68147083950547</v>
      </c>
      <c r="S397" s="1">
        <f t="shared" si="41"/>
        <v>-1.3185291604945348</v>
      </c>
    </row>
    <row r="398" spans="1:19" x14ac:dyDescent="0.35">
      <c r="A398">
        <v>397</v>
      </c>
      <c r="B398" t="s">
        <v>27</v>
      </c>
      <c r="C398">
        <v>215</v>
      </c>
      <c r="D398" t="s">
        <v>13</v>
      </c>
      <c r="E398">
        <v>40</v>
      </c>
      <c r="F398">
        <v>5</v>
      </c>
      <c r="G398">
        <v>228</v>
      </c>
      <c r="H398">
        <v>712</v>
      </c>
      <c r="I398">
        <v>103</v>
      </c>
      <c r="J398">
        <v>2</v>
      </c>
      <c r="K398" t="s">
        <v>22</v>
      </c>
      <c r="L398" t="s">
        <v>28</v>
      </c>
      <c r="M398">
        <v>3</v>
      </c>
      <c r="N398">
        <f t="shared" si="36"/>
        <v>3600</v>
      </c>
      <c r="O398">
        <f t="shared" si="37"/>
        <v>3528</v>
      </c>
      <c r="P398" s="1">
        <f t="shared" si="38"/>
        <v>34.252427184466022</v>
      </c>
      <c r="Q398" s="1">
        <f t="shared" si="39"/>
        <v>1.1595094885624326</v>
      </c>
      <c r="R398" s="1">
        <f t="shared" si="40"/>
        <v>228.24944282351487</v>
      </c>
      <c r="S398" s="1">
        <f t="shared" si="41"/>
        <v>0.24944282351486891</v>
      </c>
    </row>
    <row r="399" spans="1:19" x14ac:dyDescent="0.35">
      <c r="A399">
        <v>398</v>
      </c>
      <c r="B399" t="s">
        <v>27</v>
      </c>
      <c r="C399">
        <v>215</v>
      </c>
      <c r="D399" t="s">
        <v>13</v>
      </c>
      <c r="E399">
        <v>40</v>
      </c>
      <c r="F399">
        <v>5</v>
      </c>
      <c r="G399">
        <v>221</v>
      </c>
      <c r="H399">
        <v>552</v>
      </c>
      <c r="I399">
        <v>100</v>
      </c>
      <c r="J399">
        <v>2</v>
      </c>
      <c r="K399" t="s">
        <v>14</v>
      </c>
      <c r="L399" t="s">
        <v>28</v>
      </c>
      <c r="M399">
        <v>3</v>
      </c>
      <c r="N399">
        <f t="shared" si="36"/>
        <v>3600</v>
      </c>
      <c r="O399">
        <f t="shared" si="37"/>
        <v>3528</v>
      </c>
      <c r="P399" s="1">
        <f t="shared" si="38"/>
        <v>35.28</v>
      </c>
      <c r="Q399" s="1">
        <f t="shared" si="39"/>
        <v>1.1257373675363427</v>
      </c>
      <c r="R399" s="1">
        <f t="shared" si="40"/>
        <v>221.60140079952905</v>
      </c>
      <c r="S399" s="1">
        <f t="shared" si="41"/>
        <v>0.60140079952904557</v>
      </c>
    </row>
    <row r="400" spans="1:19" x14ac:dyDescent="0.35">
      <c r="A400">
        <v>399</v>
      </c>
      <c r="B400" t="s">
        <v>27</v>
      </c>
      <c r="C400">
        <v>215</v>
      </c>
      <c r="D400" t="s">
        <v>13</v>
      </c>
      <c r="E400">
        <v>40</v>
      </c>
      <c r="F400">
        <v>5</v>
      </c>
      <c r="G400">
        <v>202</v>
      </c>
      <c r="H400">
        <v>709</v>
      </c>
      <c r="I400">
        <v>91</v>
      </c>
      <c r="J400">
        <v>4</v>
      </c>
      <c r="K400" t="s">
        <v>22</v>
      </c>
      <c r="L400" t="s">
        <v>28</v>
      </c>
      <c r="M400">
        <v>3</v>
      </c>
      <c r="N400">
        <f t="shared" si="36"/>
        <v>1800</v>
      </c>
      <c r="O400">
        <f t="shared" si="37"/>
        <v>1764</v>
      </c>
      <c r="P400" s="1">
        <f t="shared" si="38"/>
        <v>19.384615384615383</v>
      </c>
      <c r="Q400" s="1">
        <f t="shared" si="39"/>
        <v>1.0244210044580717</v>
      </c>
      <c r="R400" s="1">
        <f t="shared" si="40"/>
        <v>201.65727472757141</v>
      </c>
      <c r="S400" s="1">
        <f t="shared" si="41"/>
        <v>-0.34272527242859496</v>
      </c>
    </row>
    <row r="401" spans="1:19" x14ac:dyDescent="0.35">
      <c r="A401">
        <v>400</v>
      </c>
      <c r="B401" t="s">
        <v>27</v>
      </c>
      <c r="C401">
        <v>215</v>
      </c>
      <c r="D401" t="s">
        <v>13</v>
      </c>
      <c r="E401">
        <v>40</v>
      </c>
      <c r="F401">
        <v>5</v>
      </c>
      <c r="G401">
        <v>198</v>
      </c>
      <c r="H401">
        <v>821</v>
      </c>
      <c r="I401">
        <v>89</v>
      </c>
      <c r="J401">
        <v>2</v>
      </c>
      <c r="K401" t="s">
        <v>22</v>
      </c>
      <c r="L401" t="s">
        <v>28</v>
      </c>
      <c r="M401">
        <v>3</v>
      </c>
      <c r="N401">
        <f t="shared" si="36"/>
        <v>3600</v>
      </c>
      <c r="O401">
        <f t="shared" si="37"/>
        <v>3528</v>
      </c>
      <c r="P401" s="1">
        <f t="shared" si="38"/>
        <v>39.640449438202246</v>
      </c>
      <c r="Q401" s="1">
        <f t="shared" si="39"/>
        <v>1.0019062571073449</v>
      </c>
      <c r="R401" s="1">
        <f t="shared" si="40"/>
        <v>197.22524671158084</v>
      </c>
      <c r="S401" s="1">
        <f t="shared" si="41"/>
        <v>-0.7747532884191628</v>
      </c>
    </row>
    <row r="402" spans="1:19" x14ac:dyDescent="0.35">
      <c r="A402">
        <v>401</v>
      </c>
      <c r="B402" t="s">
        <v>27</v>
      </c>
      <c r="C402">
        <v>215</v>
      </c>
      <c r="D402" t="s">
        <v>13</v>
      </c>
      <c r="E402">
        <v>40</v>
      </c>
      <c r="F402">
        <v>5</v>
      </c>
      <c r="G402">
        <v>162</v>
      </c>
      <c r="H402">
        <v>1000</v>
      </c>
      <c r="I402">
        <v>73</v>
      </c>
      <c r="J402">
        <v>2</v>
      </c>
      <c r="K402" t="s">
        <v>22</v>
      </c>
      <c r="L402" t="s">
        <v>28</v>
      </c>
      <c r="M402">
        <v>3</v>
      </c>
      <c r="N402">
        <f t="shared" si="36"/>
        <v>3600</v>
      </c>
      <c r="O402">
        <f t="shared" si="37"/>
        <v>3528</v>
      </c>
      <c r="P402" s="1">
        <f t="shared" si="38"/>
        <v>48.328767123287669</v>
      </c>
      <c r="Q402" s="1">
        <f t="shared" si="39"/>
        <v>0.82178827830153001</v>
      </c>
      <c r="R402" s="1">
        <f t="shared" si="40"/>
        <v>161.76902258365618</v>
      </c>
      <c r="S402" s="1">
        <f t="shared" si="41"/>
        <v>-0.23097741634381919</v>
      </c>
    </row>
    <row r="403" spans="1:19" x14ac:dyDescent="0.35">
      <c r="A403">
        <v>402</v>
      </c>
      <c r="B403" t="s">
        <v>27</v>
      </c>
      <c r="C403">
        <v>215</v>
      </c>
      <c r="D403" t="s">
        <v>13</v>
      </c>
      <c r="E403">
        <v>40</v>
      </c>
      <c r="F403">
        <v>5</v>
      </c>
      <c r="G403">
        <v>114</v>
      </c>
      <c r="H403">
        <v>1250</v>
      </c>
      <c r="I403">
        <v>51</v>
      </c>
      <c r="J403">
        <v>4</v>
      </c>
      <c r="K403" t="s">
        <v>22</v>
      </c>
      <c r="L403" t="s">
        <v>28</v>
      </c>
      <c r="M403">
        <v>3</v>
      </c>
      <c r="N403">
        <f t="shared" si="36"/>
        <v>1800</v>
      </c>
      <c r="O403">
        <f t="shared" si="37"/>
        <v>1764</v>
      </c>
      <c r="P403" s="1">
        <f t="shared" si="38"/>
        <v>34.588235294117645</v>
      </c>
      <c r="Q403" s="1">
        <f t="shared" si="39"/>
        <v>0.57412605744353473</v>
      </c>
      <c r="R403" s="1">
        <f t="shared" si="40"/>
        <v>113.01671440775981</v>
      </c>
      <c r="S403" s="1">
        <f t="shared" si="41"/>
        <v>-0.9832855922401933</v>
      </c>
    </row>
    <row r="404" spans="1:19" x14ac:dyDescent="0.35">
      <c r="A404">
        <v>403</v>
      </c>
      <c r="B404" t="s">
        <v>27</v>
      </c>
      <c r="C404">
        <v>215</v>
      </c>
      <c r="D404" t="s">
        <v>13</v>
      </c>
      <c r="E404">
        <v>40</v>
      </c>
      <c r="F404">
        <v>3</v>
      </c>
      <c r="G404">
        <v>679</v>
      </c>
      <c r="H404">
        <v>130</v>
      </c>
      <c r="I404">
        <v>307</v>
      </c>
      <c r="J404">
        <v>4</v>
      </c>
      <c r="K404" t="s">
        <v>14</v>
      </c>
      <c r="L404" t="s">
        <v>28</v>
      </c>
      <c r="M404">
        <v>3</v>
      </c>
      <c r="N404">
        <f t="shared" si="36"/>
        <v>1800</v>
      </c>
      <c r="O404">
        <f t="shared" si="37"/>
        <v>1764</v>
      </c>
      <c r="P404" s="1">
        <f t="shared" si="38"/>
        <v>5.7459283387622149</v>
      </c>
      <c r="Q404" s="1">
        <f t="shared" si="39"/>
        <v>3.456013718336572</v>
      </c>
      <c r="R404" s="1">
        <f t="shared" si="40"/>
        <v>680.31630045455415</v>
      </c>
      <c r="S404" s="1">
        <f t="shared" si="41"/>
        <v>1.3163004545541526</v>
      </c>
    </row>
    <row r="405" spans="1:19" x14ac:dyDescent="0.35">
      <c r="A405">
        <v>404</v>
      </c>
      <c r="B405" t="s">
        <v>27</v>
      </c>
      <c r="C405">
        <v>215</v>
      </c>
      <c r="D405" t="s">
        <v>13</v>
      </c>
      <c r="E405">
        <v>40</v>
      </c>
      <c r="F405">
        <v>3</v>
      </c>
      <c r="G405">
        <v>559</v>
      </c>
      <c r="H405">
        <v>158</v>
      </c>
      <c r="I405">
        <v>253</v>
      </c>
      <c r="J405">
        <v>4</v>
      </c>
      <c r="K405" t="s">
        <v>14</v>
      </c>
      <c r="L405" t="s">
        <v>28</v>
      </c>
      <c r="M405">
        <v>3</v>
      </c>
      <c r="N405">
        <f t="shared" si="36"/>
        <v>1800</v>
      </c>
      <c r="O405">
        <f t="shared" si="37"/>
        <v>1764</v>
      </c>
      <c r="P405" s="1">
        <f t="shared" si="38"/>
        <v>6.9723320158102764</v>
      </c>
      <c r="Q405" s="1">
        <f t="shared" si="39"/>
        <v>2.8481155398669467</v>
      </c>
      <c r="R405" s="1">
        <f t="shared" si="40"/>
        <v>560.65154402280848</v>
      </c>
      <c r="S405" s="1">
        <f t="shared" si="41"/>
        <v>1.6515440228084799</v>
      </c>
    </row>
    <row r="406" spans="1:19" x14ac:dyDescent="0.35">
      <c r="A406">
        <v>405</v>
      </c>
      <c r="B406" t="s">
        <v>27</v>
      </c>
      <c r="C406">
        <v>215</v>
      </c>
      <c r="D406" t="s">
        <v>13</v>
      </c>
      <c r="E406">
        <v>40</v>
      </c>
      <c r="F406">
        <v>3</v>
      </c>
      <c r="G406">
        <v>483</v>
      </c>
      <c r="H406">
        <v>183</v>
      </c>
      <c r="I406">
        <v>218</v>
      </c>
      <c r="J406">
        <v>4</v>
      </c>
      <c r="K406" t="s">
        <v>14</v>
      </c>
      <c r="L406" t="s">
        <v>28</v>
      </c>
      <c r="M406">
        <v>3</v>
      </c>
      <c r="N406">
        <f t="shared" si="36"/>
        <v>1800</v>
      </c>
      <c r="O406">
        <f t="shared" si="37"/>
        <v>1764</v>
      </c>
      <c r="P406" s="1">
        <f t="shared" si="38"/>
        <v>8.0917431192660558</v>
      </c>
      <c r="Q406" s="1">
        <f t="shared" si="39"/>
        <v>2.4541074612292264</v>
      </c>
      <c r="R406" s="1">
        <f t="shared" si="40"/>
        <v>483.0910537429732</v>
      </c>
      <c r="S406" s="1">
        <f t="shared" si="41"/>
        <v>9.1053742973201679E-2</v>
      </c>
    </row>
    <row r="407" spans="1:19" x14ac:dyDescent="0.35">
      <c r="A407">
        <v>406</v>
      </c>
      <c r="B407" t="s">
        <v>27</v>
      </c>
      <c r="C407">
        <v>215</v>
      </c>
      <c r="D407" t="s">
        <v>13</v>
      </c>
      <c r="E407">
        <v>40</v>
      </c>
      <c r="F407">
        <v>3</v>
      </c>
      <c r="G407">
        <v>398</v>
      </c>
      <c r="H407">
        <v>222</v>
      </c>
      <c r="I407">
        <v>180</v>
      </c>
      <c r="J407">
        <v>4</v>
      </c>
      <c r="K407" t="s">
        <v>14</v>
      </c>
      <c r="L407" t="s">
        <v>28</v>
      </c>
      <c r="M407">
        <v>3</v>
      </c>
      <c r="N407">
        <f t="shared" si="36"/>
        <v>1800</v>
      </c>
      <c r="O407">
        <f t="shared" si="37"/>
        <v>1764</v>
      </c>
      <c r="P407" s="1">
        <f t="shared" si="38"/>
        <v>9.8000000000000007</v>
      </c>
      <c r="Q407" s="1">
        <f t="shared" si="39"/>
        <v>2.0263272615654166</v>
      </c>
      <c r="R407" s="1">
        <f t="shared" si="40"/>
        <v>398.88252143915224</v>
      </c>
      <c r="S407" s="1">
        <f t="shared" si="41"/>
        <v>0.88252143915224224</v>
      </c>
    </row>
    <row r="408" spans="1:19" x14ac:dyDescent="0.35">
      <c r="A408">
        <v>407</v>
      </c>
      <c r="B408" t="s">
        <v>27</v>
      </c>
      <c r="C408">
        <v>215</v>
      </c>
      <c r="D408" t="s">
        <v>13</v>
      </c>
      <c r="E408">
        <v>40</v>
      </c>
      <c r="F408">
        <v>3</v>
      </c>
      <c r="G408">
        <v>325</v>
      </c>
      <c r="H408">
        <v>272</v>
      </c>
      <c r="I408">
        <v>147</v>
      </c>
      <c r="J408">
        <v>4</v>
      </c>
      <c r="K408" t="s">
        <v>14</v>
      </c>
      <c r="L408" t="s">
        <v>28</v>
      </c>
      <c r="M408">
        <v>3</v>
      </c>
      <c r="N408">
        <f t="shared" si="36"/>
        <v>1800</v>
      </c>
      <c r="O408">
        <f t="shared" si="37"/>
        <v>1764</v>
      </c>
      <c r="P408" s="1">
        <f t="shared" si="38"/>
        <v>12</v>
      </c>
      <c r="Q408" s="1">
        <f t="shared" si="39"/>
        <v>1.6548339302784234</v>
      </c>
      <c r="R408" s="1">
        <f t="shared" si="40"/>
        <v>325.75405917530765</v>
      </c>
      <c r="S408" s="1">
        <f t="shared" si="41"/>
        <v>0.75405917530764555</v>
      </c>
    </row>
    <row r="409" spans="1:19" x14ac:dyDescent="0.35">
      <c r="A409">
        <v>408</v>
      </c>
      <c r="B409" t="s">
        <v>27</v>
      </c>
      <c r="C409">
        <v>215</v>
      </c>
      <c r="D409" t="s">
        <v>13</v>
      </c>
      <c r="E409">
        <v>40</v>
      </c>
      <c r="F409">
        <v>3</v>
      </c>
      <c r="G409">
        <v>293</v>
      </c>
      <c r="H409">
        <v>302</v>
      </c>
      <c r="I409">
        <v>132</v>
      </c>
      <c r="J409">
        <v>4</v>
      </c>
      <c r="K409" t="s">
        <v>14</v>
      </c>
      <c r="L409" t="s">
        <v>28</v>
      </c>
      <c r="M409">
        <v>3</v>
      </c>
      <c r="N409">
        <f t="shared" si="36"/>
        <v>1800</v>
      </c>
      <c r="O409">
        <f t="shared" si="37"/>
        <v>1764</v>
      </c>
      <c r="P409" s="1">
        <f t="shared" si="38"/>
        <v>13.363636363636363</v>
      </c>
      <c r="Q409" s="1">
        <f t="shared" si="39"/>
        <v>1.4859733251479721</v>
      </c>
      <c r="R409" s="1">
        <f t="shared" si="40"/>
        <v>292.51384905537827</v>
      </c>
      <c r="S409" s="1">
        <f t="shared" si="41"/>
        <v>-0.48615094462172692</v>
      </c>
    </row>
    <row r="410" spans="1:19" x14ac:dyDescent="0.35">
      <c r="A410">
        <v>409</v>
      </c>
      <c r="B410" t="s">
        <v>27</v>
      </c>
      <c r="C410">
        <v>215</v>
      </c>
      <c r="D410" t="s">
        <v>13</v>
      </c>
      <c r="E410">
        <v>40</v>
      </c>
      <c r="F410">
        <v>3</v>
      </c>
      <c r="G410">
        <v>233</v>
      </c>
      <c r="H410">
        <v>379</v>
      </c>
      <c r="I410">
        <v>105</v>
      </c>
      <c r="J410">
        <v>4</v>
      </c>
      <c r="K410" t="s">
        <v>14</v>
      </c>
      <c r="L410" t="s">
        <v>28</v>
      </c>
      <c r="M410">
        <v>3</v>
      </c>
      <c r="N410">
        <f t="shared" si="36"/>
        <v>1800</v>
      </c>
      <c r="O410">
        <f t="shared" si="37"/>
        <v>1764</v>
      </c>
      <c r="P410" s="1">
        <f t="shared" si="38"/>
        <v>16.8</v>
      </c>
      <c r="Q410" s="1">
        <f t="shared" si="39"/>
        <v>1.1820242359131596</v>
      </c>
      <c r="R410" s="1">
        <f t="shared" si="40"/>
        <v>232.68147083950547</v>
      </c>
      <c r="S410" s="1">
        <f t="shared" si="41"/>
        <v>-0.31852916049453484</v>
      </c>
    </row>
    <row r="411" spans="1:19" x14ac:dyDescent="0.35">
      <c r="A411">
        <v>410</v>
      </c>
      <c r="B411" t="s">
        <v>27</v>
      </c>
      <c r="C411">
        <v>215</v>
      </c>
      <c r="D411" t="s">
        <v>13</v>
      </c>
      <c r="E411">
        <v>40</v>
      </c>
      <c r="F411">
        <v>3</v>
      </c>
      <c r="G411">
        <v>234</v>
      </c>
      <c r="H411">
        <v>377</v>
      </c>
      <c r="I411">
        <v>106</v>
      </c>
      <c r="J411">
        <v>4</v>
      </c>
      <c r="K411" t="s">
        <v>14</v>
      </c>
      <c r="L411" t="s">
        <v>28</v>
      </c>
      <c r="M411">
        <v>3</v>
      </c>
      <c r="N411">
        <f t="shared" si="36"/>
        <v>1800</v>
      </c>
      <c r="O411">
        <f t="shared" si="37"/>
        <v>1764</v>
      </c>
      <c r="P411" s="1">
        <f t="shared" si="38"/>
        <v>16.641509433962263</v>
      </c>
      <c r="Q411" s="1">
        <f t="shared" si="39"/>
        <v>1.193281609588523</v>
      </c>
      <c r="R411" s="1">
        <f t="shared" si="40"/>
        <v>234.89748484750075</v>
      </c>
      <c r="S411" s="1">
        <f t="shared" si="41"/>
        <v>0.89748484750074908</v>
      </c>
    </row>
    <row r="412" spans="1:19" x14ac:dyDescent="0.35">
      <c r="A412">
        <v>411</v>
      </c>
      <c r="B412" t="s">
        <v>27</v>
      </c>
      <c r="C412">
        <v>215</v>
      </c>
      <c r="D412" t="s">
        <v>13</v>
      </c>
      <c r="E412">
        <v>40</v>
      </c>
      <c r="F412">
        <v>3</v>
      </c>
      <c r="G412">
        <v>208</v>
      </c>
      <c r="H412">
        <v>425</v>
      </c>
      <c r="I412">
        <v>94</v>
      </c>
      <c r="J412">
        <v>4</v>
      </c>
      <c r="K412" t="s">
        <v>14</v>
      </c>
      <c r="L412" t="s">
        <v>28</v>
      </c>
      <c r="M412">
        <v>3</v>
      </c>
      <c r="N412">
        <f t="shared" si="36"/>
        <v>1800</v>
      </c>
      <c r="O412">
        <f t="shared" si="37"/>
        <v>1764</v>
      </c>
      <c r="P412" s="1">
        <f t="shared" si="38"/>
        <v>18.76595744680851</v>
      </c>
      <c r="Q412" s="1">
        <f t="shared" si="39"/>
        <v>1.0581931254841621</v>
      </c>
      <c r="R412" s="1">
        <f t="shared" si="40"/>
        <v>208.30531675155731</v>
      </c>
      <c r="S412" s="1">
        <f t="shared" si="41"/>
        <v>0.30531675155731364</v>
      </c>
    </row>
    <row r="413" spans="1:19" x14ac:dyDescent="0.35">
      <c r="A413">
        <v>412</v>
      </c>
      <c r="B413" t="s">
        <v>27</v>
      </c>
      <c r="C413">
        <v>215</v>
      </c>
      <c r="D413" t="s">
        <v>13</v>
      </c>
      <c r="E413">
        <v>40</v>
      </c>
      <c r="F413">
        <v>3</v>
      </c>
      <c r="G413">
        <v>202</v>
      </c>
      <c r="H413">
        <v>437</v>
      </c>
      <c r="I413">
        <v>91</v>
      </c>
      <c r="J413">
        <v>4</v>
      </c>
      <c r="K413" t="s">
        <v>14</v>
      </c>
      <c r="L413" t="s">
        <v>28</v>
      </c>
      <c r="M413">
        <v>3</v>
      </c>
      <c r="N413">
        <f t="shared" si="36"/>
        <v>1800</v>
      </c>
      <c r="O413">
        <f t="shared" si="37"/>
        <v>1764</v>
      </c>
      <c r="P413" s="1">
        <f t="shared" si="38"/>
        <v>19.384615384615383</v>
      </c>
      <c r="Q413" s="1">
        <f t="shared" si="39"/>
        <v>1.0244210044580717</v>
      </c>
      <c r="R413" s="1">
        <f t="shared" si="40"/>
        <v>201.65727472757141</v>
      </c>
      <c r="S413" s="1">
        <f t="shared" si="41"/>
        <v>-0.34272527242859496</v>
      </c>
    </row>
    <row r="414" spans="1:19" x14ac:dyDescent="0.35">
      <c r="A414">
        <v>413</v>
      </c>
      <c r="B414" t="s">
        <v>27</v>
      </c>
      <c r="C414">
        <v>215</v>
      </c>
      <c r="D414" t="s">
        <v>13</v>
      </c>
      <c r="E414">
        <v>40</v>
      </c>
      <c r="F414">
        <v>3</v>
      </c>
      <c r="G414">
        <v>166</v>
      </c>
      <c r="H414">
        <v>533</v>
      </c>
      <c r="I414">
        <v>75</v>
      </c>
      <c r="J414">
        <v>4</v>
      </c>
      <c r="K414" t="s">
        <v>14</v>
      </c>
      <c r="L414" t="s">
        <v>28</v>
      </c>
      <c r="M414">
        <v>3</v>
      </c>
      <c r="N414">
        <f t="shared" si="36"/>
        <v>1800</v>
      </c>
      <c r="O414">
        <f t="shared" si="37"/>
        <v>1764</v>
      </c>
      <c r="P414" s="1">
        <f t="shared" si="38"/>
        <v>23.52</v>
      </c>
      <c r="Q414" s="1">
        <f t="shared" si="39"/>
        <v>0.8443030256522569</v>
      </c>
      <c r="R414" s="1">
        <f t="shared" si="40"/>
        <v>166.20105059964678</v>
      </c>
      <c r="S414" s="1">
        <f t="shared" si="41"/>
        <v>0.20105059964677707</v>
      </c>
    </row>
    <row r="415" spans="1:19" x14ac:dyDescent="0.35">
      <c r="A415">
        <v>414</v>
      </c>
      <c r="B415" t="s">
        <v>27</v>
      </c>
      <c r="C415">
        <v>215</v>
      </c>
      <c r="D415" t="s">
        <v>13</v>
      </c>
      <c r="E415">
        <v>40</v>
      </c>
      <c r="F415">
        <v>3</v>
      </c>
      <c r="G415">
        <v>155</v>
      </c>
      <c r="H415">
        <v>569</v>
      </c>
      <c r="I415">
        <v>70</v>
      </c>
      <c r="J415">
        <v>4</v>
      </c>
      <c r="K415" t="s">
        <v>14</v>
      </c>
      <c r="L415" t="s">
        <v>28</v>
      </c>
      <c r="M415">
        <v>3</v>
      </c>
      <c r="N415">
        <f t="shared" si="36"/>
        <v>1800</v>
      </c>
      <c r="O415">
        <f t="shared" si="37"/>
        <v>1764</v>
      </c>
      <c r="P415" s="1">
        <f t="shared" si="38"/>
        <v>25.2</v>
      </c>
      <c r="Q415" s="1">
        <f t="shared" si="39"/>
        <v>0.78801615727543972</v>
      </c>
      <c r="R415" s="1">
        <f t="shared" si="40"/>
        <v>155.1209805596703</v>
      </c>
      <c r="S415" s="1">
        <f t="shared" si="41"/>
        <v>0.12098055967030064</v>
      </c>
    </row>
    <row r="416" spans="1:19" x14ac:dyDescent="0.35">
      <c r="A416">
        <v>415</v>
      </c>
      <c r="B416" t="s">
        <v>27</v>
      </c>
      <c r="C416">
        <v>215</v>
      </c>
      <c r="D416" t="s">
        <v>13</v>
      </c>
      <c r="E416">
        <v>40</v>
      </c>
      <c r="F416">
        <v>3</v>
      </c>
      <c r="G416">
        <v>144</v>
      </c>
      <c r="H416">
        <v>614</v>
      </c>
      <c r="I416">
        <v>65</v>
      </c>
      <c r="J416">
        <v>4</v>
      </c>
      <c r="K416" t="s">
        <v>14</v>
      </c>
      <c r="L416" t="s">
        <v>28</v>
      </c>
      <c r="M416">
        <v>3</v>
      </c>
      <c r="N416">
        <f t="shared" si="36"/>
        <v>1800</v>
      </c>
      <c r="O416">
        <f t="shared" si="37"/>
        <v>1764</v>
      </c>
      <c r="P416" s="1">
        <f t="shared" si="38"/>
        <v>27.138461538461538</v>
      </c>
      <c r="Q416" s="1">
        <f t="shared" si="39"/>
        <v>0.73172928889862254</v>
      </c>
      <c r="R416" s="1">
        <f t="shared" si="40"/>
        <v>144.04091051969385</v>
      </c>
      <c r="S416" s="1">
        <f t="shared" si="41"/>
        <v>4.0910519693852621E-2</v>
      </c>
    </row>
    <row r="417" spans="1:19" x14ac:dyDescent="0.35">
      <c r="A417">
        <v>416</v>
      </c>
      <c r="B417" t="s">
        <v>27</v>
      </c>
      <c r="C417">
        <v>215</v>
      </c>
      <c r="D417" t="s">
        <v>13</v>
      </c>
      <c r="E417">
        <v>40</v>
      </c>
      <c r="F417">
        <v>3</v>
      </c>
      <c r="G417">
        <v>128</v>
      </c>
      <c r="H417">
        <v>692</v>
      </c>
      <c r="I417">
        <v>58</v>
      </c>
      <c r="J417">
        <v>4</v>
      </c>
      <c r="K417" t="s">
        <v>14</v>
      </c>
      <c r="L417" t="s">
        <v>28</v>
      </c>
      <c r="M417">
        <v>3</v>
      </c>
      <c r="N417">
        <f t="shared" si="36"/>
        <v>1800</v>
      </c>
      <c r="O417">
        <f t="shared" si="37"/>
        <v>1764</v>
      </c>
      <c r="P417" s="1">
        <f t="shared" si="38"/>
        <v>30.413793103448278</v>
      </c>
      <c r="Q417" s="1">
        <f t="shared" si="39"/>
        <v>0.65292767317107869</v>
      </c>
      <c r="R417" s="1">
        <f t="shared" si="40"/>
        <v>128.52881246372684</v>
      </c>
      <c r="S417" s="1">
        <f t="shared" si="41"/>
        <v>0.52881246372683677</v>
      </c>
    </row>
    <row r="418" spans="1:19" x14ac:dyDescent="0.35">
      <c r="A418">
        <v>417</v>
      </c>
      <c r="B418" t="s">
        <v>27</v>
      </c>
      <c r="C418">
        <v>215</v>
      </c>
      <c r="D418" t="s">
        <v>13</v>
      </c>
      <c r="E418">
        <v>40</v>
      </c>
      <c r="F418">
        <v>3</v>
      </c>
      <c r="G418">
        <v>119</v>
      </c>
      <c r="H418">
        <v>741</v>
      </c>
      <c r="I418">
        <v>54</v>
      </c>
      <c r="J418">
        <v>4</v>
      </c>
      <c r="K418" t="s">
        <v>14</v>
      </c>
      <c r="L418" t="s">
        <v>28</v>
      </c>
      <c r="M418">
        <v>3</v>
      </c>
      <c r="N418">
        <f t="shared" si="36"/>
        <v>1800</v>
      </c>
      <c r="O418">
        <f t="shared" si="37"/>
        <v>1764</v>
      </c>
      <c r="P418" s="1">
        <f t="shared" si="38"/>
        <v>32.666666666666664</v>
      </c>
      <c r="Q418" s="1">
        <f t="shared" si="39"/>
        <v>0.60789817846962491</v>
      </c>
      <c r="R418" s="1">
        <f t="shared" si="40"/>
        <v>119.66475643174566</v>
      </c>
      <c r="S418" s="1">
        <f t="shared" si="41"/>
        <v>0.66475643174565846</v>
      </c>
    </row>
    <row r="419" spans="1:19" x14ac:dyDescent="0.35">
      <c r="A419">
        <v>418</v>
      </c>
      <c r="B419" t="s">
        <v>27</v>
      </c>
      <c r="C419">
        <v>215</v>
      </c>
      <c r="D419" t="s">
        <v>13</v>
      </c>
      <c r="E419">
        <v>40</v>
      </c>
      <c r="F419">
        <v>3</v>
      </c>
      <c r="G419">
        <v>114</v>
      </c>
      <c r="H419">
        <v>774</v>
      </c>
      <c r="I419">
        <v>52</v>
      </c>
      <c r="J419">
        <v>4</v>
      </c>
      <c r="K419" t="s">
        <v>22</v>
      </c>
      <c r="L419" t="s">
        <v>28</v>
      </c>
      <c r="M419">
        <v>3</v>
      </c>
      <c r="N419">
        <f t="shared" si="36"/>
        <v>1800</v>
      </c>
      <c r="O419">
        <f t="shared" si="37"/>
        <v>1764</v>
      </c>
      <c r="P419" s="1">
        <f t="shared" si="38"/>
        <v>33.92307692307692</v>
      </c>
      <c r="Q419" s="1">
        <f t="shared" si="39"/>
        <v>0.58538343111889812</v>
      </c>
      <c r="R419" s="1">
        <f t="shared" si="40"/>
        <v>115.23272841575509</v>
      </c>
      <c r="S419" s="1">
        <f t="shared" si="41"/>
        <v>1.2327284157550906</v>
      </c>
    </row>
    <row r="420" spans="1:19" x14ac:dyDescent="0.35">
      <c r="A420">
        <v>419</v>
      </c>
      <c r="B420" t="s">
        <v>27</v>
      </c>
      <c r="C420">
        <v>215</v>
      </c>
      <c r="D420" t="s">
        <v>13</v>
      </c>
      <c r="E420">
        <v>40</v>
      </c>
      <c r="F420">
        <v>3</v>
      </c>
      <c r="G420">
        <v>99</v>
      </c>
      <c r="H420">
        <v>893</v>
      </c>
      <c r="I420">
        <v>45</v>
      </c>
      <c r="J420">
        <v>4</v>
      </c>
      <c r="K420" t="s">
        <v>22</v>
      </c>
      <c r="L420" t="s">
        <v>28</v>
      </c>
      <c r="M420">
        <v>3</v>
      </c>
      <c r="N420">
        <f t="shared" si="36"/>
        <v>1800</v>
      </c>
      <c r="O420">
        <f t="shared" si="37"/>
        <v>1764</v>
      </c>
      <c r="P420" s="1">
        <f t="shared" si="38"/>
        <v>39.200000000000003</v>
      </c>
      <c r="Q420" s="1">
        <f t="shared" si="39"/>
        <v>0.50658181539135416</v>
      </c>
      <c r="R420" s="1">
        <f t="shared" si="40"/>
        <v>99.720630359788061</v>
      </c>
      <c r="S420" s="1">
        <f t="shared" si="41"/>
        <v>0.72063035978806056</v>
      </c>
    </row>
    <row r="421" spans="1:19" x14ac:dyDescent="0.35">
      <c r="A421">
        <v>420</v>
      </c>
      <c r="B421" t="s">
        <v>27</v>
      </c>
      <c r="C421">
        <v>215</v>
      </c>
      <c r="D421" t="s">
        <v>13</v>
      </c>
      <c r="E421">
        <v>40</v>
      </c>
      <c r="F421">
        <v>3</v>
      </c>
      <c r="G421">
        <v>81</v>
      </c>
      <c r="H421">
        <v>1087</v>
      </c>
      <c r="I421">
        <v>37</v>
      </c>
      <c r="J421">
        <v>4</v>
      </c>
      <c r="K421" t="s">
        <v>22</v>
      </c>
      <c r="L421" t="s">
        <v>28</v>
      </c>
      <c r="M421">
        <v>3</v>
      </c>
      <c r="N421">
        <f t="shared" si="36"/>
        <v>1800</v>
      </c>
      <c r="O421">
        <f t="shared" si="37"/>
        <v>1764</v>
      </c>
      <c r="P421" s="1">
        <f t="shared" si="38"/>
        <v>47.675675675675677</v>
      </c>
      <c r="Q421" s="1">
        <f t="shared" si="39"/>
        <v>0.41652282598844675</v>
      </c>
      <c r="R421" s="1">
        <f t="shared" si="40"/>
        <v>81.992518295825747</v>
      </c>
      <c r="S421" s="1">
        <f t="shared" si="41"/>
        <v>0.99251829582574658</v>
      </c>
    </row>
    <row r="422" spans="1:19" x14ac:dyDescent="0.35">
      <c r="A422">
        <v>421</v>
      </c>
      <c r="B422" t="s">
        <v>27</v>
      </c>
      <c r="C422">
        <v>215</v>
      </c>
      <c r="D422" t="s">
        <v>13</v>
      </c>
      <c r="E422">
        <v>40</v>
      </c>
      <c r="F422">
        <v>3</v>
      </c>
      <c r="G422">
        <v>70</v>
      </c>
      <c r="H422">
        <v>1254</v>
      </c>
      <c r="I422">
        <v>32</v>
      </c>
      <c r="J422">
        <v>4</v>
      </c>
      <c r="K422" t="s">
        <v>22</v>
      </c>
      <c r="L422" t="s">
        <v>28</v>
      </c>
      <c r="M422">
        <v>3</v>
      </c>
      <c r="N422">
        <f t="shared" si="36"/>
        <v>1800</v>
      </c>
      <c r="O422">
        <f t="shared" si="37"/>
        <v>1764</v>
      </c>
      <c r="P422" s="1">
        <f t="shared" si="38"/>
        <v>55.125</v>
      </c>
      <c r="Q422" s="1">
        <f t="shared" si="39"/>
        <v>0.36023595761162958</v>
      </c>
      <c r="R422" s="1">
        <f t="shared" si="40"/>
        <v>70.912448255849284</v>
      </c>
      <c r="S422" s="1">
        <f t="shared" si="41"/>
        <v>0.91244825584928435</v>
      </c>
    </row>
    <row r="423" spans="1:19" x14ac:dyDescent="0.35">
      <c r="A423">
        <v>422</v>
      </c>
      <c r="B423" t="s">
        <v>27</v>
      </c>
      <c r="C423">
        <v>215</v>
      </c>
      <c r="D423" t="s">
        <v>13</v>
      </c>
      <c r="E423">
        <v>40</v>
      </c>
      <c r="F423">
        <v>3</v>
      </c>
      <c r="G423">
        <v>63</v>
      </c>
      <c r="H423">
        <v>1412</v>
      </c>
      <c r="I423">
        <v>28</v>
      </c>
      <c r="J423">
        <v>4</v>
      </c>
      <c r="K423" t="s">
        <v>22</v>
      </c>
      <c r="L423" t="s">
        <v>28</v>
      </c>
      <c r="M423">
        <v>3</v>
      </c>
      <c r="N423">
        <f t="shared" si="36"/>
        <v>1800</v>
      </c>
      <c r="O423">
        <f t="shared" si="37"/>
        <v>1764</v>
      </c>
      <c r="P423" s="1">
        <f t="shared" si="38"/>
        <v>63</v>
      </c>
      <c r="Q423" s="1">
        <f t="shared" si="39"/>
        <v>0.3152064629101759</v>
      </c>
      <c r="R423" s="1">
        <f t="shared" si="40"/>
        <v>62.048392223868127</v>
      </c>
      <c r="S423" s="1">
        <f t="shared" si="41"/>
        <v>-0.95160777613187264</v>
      </c>
    </row>
    <row r="424" spans="1:19" x14ac:dyDescent="0.35">
      <c r="A424">
        <v>423</v>
      </c>
      <c r="B424" t="s">
        <v>27</v>
      </c>
      <c r="C424">
        <v>215</v>
      </c>
      <c r="D424" t="s">
        <v>13</v>
      </c>
      <c r="E424">
        <v>40</v>
      </c>
      <c r="F424">
        <v>2</v>
      </c>
      <c r="G424">
        <v>685</v>
      </c>
      <c r="H424">
        <v>82</v>
      </c>
      <c r="I424">
        <v>309</v>
      </c>
      <c r="J424">
        <v>4</v>
      </c>
      <c r="K424" t="s">
        <v>14</v>
      </c>
      <c r="L424" t="s">
        <v>28</v>
      </c>
      <c r="M424">
        <v>3</v>
      </c>
      <c r="N424">
        <f t="shared" si="36"/>
        <v>1800</v>
      </c>
      <c r="O424">
        <f t="shared" si="37"/>
        <v>1764</v>
      </c>
      <c r="P424" s="1">
        <f t="shared" si="38"/>
        <v>5.70873786407767</v>
      </c>
      <c r="Q424" s="1">
        <f t="shared" si="39"/>
        <v>3.4785284656872983</v>
      </c>
      <c r="R424" s="1">
        <f t="shared" si="40"/>
        <v>684.74832847054461</v>
      </c>
      <c r="S424" s="1">
        <f t="shared" si="41"/>
        <v>-0.25167152945539328</v>
      </c>
    </row>
    <row r="425" spans="1:19" x14ac:dyDescent="0.35">
      <c r="A425">
        <v>424</v>
      </c>
      <c r="B425" t="s">
        <v>27</v>
      </c>
      <c r="C425">
        <v>215</v>
      </c>
      <c r="D425" t="s">
        <v>13</v>
      </c>
      <c r="E425">
        <v>40</v>
      </c>
      <c r="F425">
        <v>2</v>
      </c>
      <c r="G425">
        <v>564</v>
      </c>
      <c r="H425">
        <v>99</v>
      </c>
      <c r="I425">
        <v>255</v>
      </c>
      <c r="J425">
        <v>4</v>
      </c>
      <c r="K425" t="s">
        <v>14</v>
      </c>
      <c r="L425" t="s">
        <v>28</v>
      </c>
      <c r="M425">
        <v>3</v>
      </c>
      <c r="N425">
        <f t="shared" si="36"/>
        <v>1800</v>
      </c>
      <c r="O425">
        <f t="shared" si="37"/>
        <v>1764</v>
      </c>
      <c r="P425" s="1">
        <f t="shared" si="38"/>
        <v>6.9176470588235297</v>
      </c>
      <c r="Q425" s="1">
        <f t="shared" si="39"/>
        <v>2.8706302872176734</v>
      </c>
      <c r="R425" s="1">
        <f t="shared" si="40"/>
        <v>565.08357203879905</v>
      </c>
      <c r="S425" s="1">
        <f t="shared" si="41"/>
        <v>1.0835720387990477</v>
      </c>
    </row>
    <row r="426" spans="1:19" x14ac:dyDescent="0.35">
      <c r="A426">
        <v>425</v>
      </c>
      <c r="B426" t="s">
        <v>27</v>
      </c>
      <c r="C426">
        <v>215</v>
      </c>
      <c r="D426" t="s">
        <v>13</v>
      </c>
      <c r="E426">
        <v>40</v>
      </c>
      <c r="F426">
        <v>2</v>
      </c>
      <c r="G426">
        <v>488</v>
      </c>
      <c r="H426">
        <v>115</v>
      </c>
      <c r="I426">
        <v>220</v>
      </c>
      <c r="J426">
        <v>4</v>
      </c>
      <c r="K426" t="s">
        <v>14</v>
      </c>
      <c r="L426" t="s">
        <v>28</v>
      </c>
      <c r="M426">
        <v>3</v>
      </c>
      <c r="N426">
        <f t="shared" si="36"/>
        <v>1800</v>
      </c>
      <c r="O426">
        <f t="shared" si="37"/>
        <v>1764</v>
      </c>
      <c r="P426" s="1">
        <f t="shared" si="38"/>
        <v>8.0181818181818176</v>
      </c>
      <c r="Q426" s="1">
        <f t="shared" si="39"/>
        <v>2.4766222085799536</v>
      </c>
      <c r="R426" s="1">
        <f t="shared" si="40"/>
        <v>487.52308175896388</v>
      </c>
      <c r="S426" s="1">
        <f t="shared" si="41"/>
        <v>-0.4769182410361168</v>
      </c>
    </row>
    <row r="427" spans="1:19" x14ac:dyDescent="0.35">
      <c r="A427">
        <v>426</v>
      </c>
      <c r="B427" t="s">
        <v>27</v>
      </c>
      <c r="C427">
        <v>215</v>
      </c>
      <c r="D427" t="s">
        <v>13</v>
      </c>
      <c r="E427">
        <v>40</v>
      </c>
      <c r="F427">
        <v>2</v>
      </c>
      <c r="G427">
        <v>402</v>
      </c>
      <c r="H427">
        <v>140</v>
      </c>
      <c r="I427">
        <v>181</v>
      </c>
      <c r="J427">
        <v>4</v>
      </c>
      <c r="K427" t="s">
        <v>14</v>
      </c>
      <c r="L427" t="s">
        <v>28</v>
      </c>
      <c r="M427">
        <v>3</v>
      </c>
      <c r="N427">
        <f t="shared" si="36"/>
        <v>1800</v>
      </c>
      <c r="O427">
        <f t="shared" si="37"/>
        <v>1764</v>
      </c>
      <c r="P427" s="1">
        <f t="shared" si="38"/>
        <v>9.7458563535911598</v>
      </c>
      <c r="Q427" s="1">
        <f t="shared" si="39"/>
        <v>2.0375846352407798</v>
      </c>
      <c r="R427" s="1">
        <f t="shared" si="40"/>
        <v>401.09853544714747</v>
      </c>
      <c r="S427" s="1">
        <f t="shared" si="41"/>
        <v>-0.90146455285253069</v>
      </c>
    </row>
    <row r="428" spans="1:19" x14ac:dyDescent="0.35">
      <c r="A428">
        <v>427</v>
      </c>
      <c r="B428" t="s">
        <v>27</v>
      </c>
      <c r="C428">
        <v>215</v>
      </c>
      <c r="D428" t="s">
        <v>13</v>
      </c>
      <c r="E428">
        <v>40</v>
      </c>
      <c r="F428">
        <v>2</v>
      </c>
      <c r="G428">
        <v>376</v>
      </c>
      <c r="H428">
        <v>164</v>
      </c>
      <c r="I428">
        <v>170</v>
      </c>
      <c r="J428">
        <v>6</v>
      </c>
      <c r="K428" t="s">
        <v>14</v>
      </c>
      <c r="L428" t="s">
        <v>28</v>
      </c>
      <c r="M428">
        <v>3</v>
      </c>
      <c r="N428">
        <f t="shared" si="36"/>
        <v>1200</v>
      </c>
      <c r="O428">
        <f t="shared" si="37"/>
        <v>1176</v>
      </c>
      <c r="P428" s="1">
        <f t="shared" si="38"/>
        <v>6.9176470588235297</v>
      </c>
      <c r="Q428" s="1">
        <f t="shared" si="39"/>
        <v>1.9137535248117825</v>
      </c>
      <c r="R428" s="1">
        <f t="shared" si="40"/>
        <v>376.7223813591994</v>
      </c>
      <c r="S428" s="1">
        <f t="shared" si="41"/>
        <v>0.72238135919940305</v>
      </c>
    </row>
    <row r="429" spans="1:19" x14ac:dyDescent="0.35">
      <c r="A429">
        <v>428</v>
      </c>
      <c r="B429" t="s">
        <v>27</v>
      </c>
      <c r="C429">
        <v>215</v>
      </c>
      <c r="D429" t="s">
        <v>13</v>
      </c>
      <c r="E429">
        <v>40</v>
      </c>
      <c r="F429">
        <v>2</v>
      </c>
      <c r="G429">
        <v>328</v>
      </c>
      <c r="H429">
        <v>171</v>
      </c>
      <c r="I429">
        <v>148</v>
      </c>
      <c r="J429">
        <v>4</v>
      </c>
      <c r="K429" t="s">
        <v>14</v>
      </c>
      <c r="L429" t="s">
        <v>28</v>
      </c>
      <c r="M429">
        <v>3</v>
      </c>
      <c r="N429">
        <f t="shared" si="36"/>
        <v>1800</v>
      </c>
      <c r="O429">
        <f t="shared" si="37"/>
        <v>1764</v>
      </c>
      <c r="P429" s="1">
        <f t="shared" si="38"/>
        <v>11.918918918918919</v>
      </c>
      <c r="Q429" s="1">
        <f t="shared" si="39"/>
        <v>1.666091303953787</v>
      </c>
      <c r="R429" s="1">
        <f t="shared" si="40"/>
        <v>327.97007318330299</v>
      </c>
      <c r="S429" s="1">
        <f t="shared" si="41"/>
        <v>-2.9926816697013692E-2</v>
      </c>
    </row>
    <row r="430" spans="1:19" x14ac:dyDescent="0.35">
      <c r="A430">
        <v>429</v>
      </c>
      <c r="B430" t="s">
        <v>27</v>
      </c>
      <c r="C430">
        <v>215</v>
      </c>
      <c r="D430" t="s">
        <v>13</v>
      </c>
      <c r="E430">
        <v>40</v>
      </c>
      <c r="F430">
        <v>2</v>
      </c>
      <c r="G430">
        <v>295</v>
      </c>
      <c r="H430">
        <v>190</v>
      </c>
      <c r="I430">
        <v>133</v>
      </c>
      <c r="J430">
        <v>4</v>
      </c>
      <c r="K430" t="s">
        <v>14</v>
      </c>
      <c r="L430" t="s">
        <v>28</v>
      </c>
      <c r="M430">
        <v>3</v>
      </c>
      <c r="N430">
        <f t="shared" si="36"/>
        <v>1800</v>
      </c>
      <c r="O430">
        <f t="shared" si="37"/>
        <v>1764</v>
      </c>
      <c r="P430" s="1">
        <f t="shared" si="38"/>
        <v>13.263157894736842</v>
      </c>
      <c r="Q430" s="1">
        <f t="shared" si="39"/>
        <v>1.4972306988233357</v>
      </c>
      <c r="R430" s="1">
        <f t="shared" si="40"/>
        <v>294.72986306337361</v>
      </c>
      <c r="S430" s="1">
        <f t="shared" si="41"/>
        <v>-0.27013693662638616</v>
      </c>
    </row>
    <row r="431" spans="1:19" x14ac:dyDescent="0.35">
      <c r="A431">
        <v>430</v>
      </c>
      <c r="B431" t="s">
        <v>27</v>
      </c>
      <c r="C431">
        <v>215</v>
      </c>
      <c r="D431" t="s">
        <v>13</v>
      </c>
      <c r="E431">
        <v>40</v>
      </c>
      <c r="F431">
        <v>2</v>
      </c>
      <c r="G431">
        <v>236</v>
      </c>
      <c r="H431">
        <v>237</v>
      </c>
      <c r="I431">
        <v>107</v>
      </c>
      <c r="J431">
        <v>4</v>
      </c>
      <c r="K431" t="s">
        <v>14</v>
      </c>
      <c r="L431" t="s">
        <v>28</v>
      </c>
      <c r="M431">
        <v>3</v>
      </c>
      <c r="N431">
        <f t="shared" si="36"/>
        <v>1800</v>
      </c>
      <c r="O431">
        <f t="shared" si="37"/>
        <v>1764</v>
      </c>
      <c r="P431" s="1">
        <f t="shared" si="38"/>
        <v>16.485981308411215</v>
      </c>
      <c r="Q431" s="1">
        <f t="shared" si="39"/>
        <v>1.2045389832638864</v>
      </c>
      <c r="R431" s="1">
        <f t="shared" si="40"/>
        <v>237.11349885549603</v>
      </c>
      <c r="S431" s="1">
        <f t="shared" si="41"/>
        <v>1.113498855496033</v>
      </c>
    </row>
    <row r="432" spans="1:19" x14ac:dyDescent="0.35">
      <c r="A432">
        <v>431</v>
      </c>
      <c r="B432" t="s">
        <v>27</v>
      </c>
      <c r="C432">
        <v>215</v>
      </c>
      <c r="D432" t="s">
        <v>13</v>
      </c>
      <c r="E432">
        <v>40</v>
      </c>
      <c r="F432">
        <v>2</v>
      </c>
      <c r="G432">
        <v>210</v>
      </c>
      <c r="H432">
        <v>267</v>
      </c>
      <c r="I432">
        <v>95</v>
      </c>
      <c r="J432">
        <v>4</v>
      </c>
      <c r="K432" t="s">
        <v>14</v>
      </c>
      <c r="L432" t="s">
        <v>28</v>
      </c>
      <c r="M432">
        <v>3</v>
      </c>
      <c r="N432">
        <f t="shared" si="36"/>
        <v>1800</v>
      </c>
      <c r="O432">
        <f t="shared" si="37"/>
        <v>1764</v>
      </c>
      <c r="P432" s="1">
        <f t="shared" si="38"/>
        <v>18.568421052631578</v>
      </c>
      <c r="Q432" s="1">
        <f t="shared" si="39"/>
        <v>1.0694504991595255</v>
      </c>
      <c r="R432" s="1">
        <f t="shared" si="40"/>
        <v>210.5213307595526</v>
      </c>
      <c r="S432" s="1">
        <f t="shared" si="41"/>
        <v>0.52133075955259756</v>
      </c>
    </row>
    <row r="433" spans="1:19" x14ac:dyDescent="0.35">
      <c r="A433">
        <v>432</v>
      </c>
      <c r="B433" t="s">
        <v>27</v>
      </c>
      <c r="C433">
        <v>215</v>
      </c>
      <c r="D433" t="s">
        <v>13</v>
      </c>
      <c r="E433">
        <v>40</v>
      </c>
      <c r="F433">
        <v>2</v>
      </c>
      <c r="G433">
        <v>204</v>
      </c>
      <c r="H433">
        <v>275</v>
      </c>
      <c r="I433">
        <v>92</v>
      </c>
      <c r="J433">
        <v>4</v>
      </c>
      <c r="K433" t="s">
        <v>14</v>
      </c>
      <c r="L433" t="s">
        <v>28</v>
      </c>
      <c r="M433">
        <v>3</v>
      </c>
      <c r="N433">
        <f t="shared" si="36"/>
        <v>1800</v>
      </c>
      <c r="O433">
        <f t="shared" si="37"/>
        <v>1764</v>
      </c>
      <c r="P433" s="1">
        <f t="shared" si="38"/>
        <v>19.173913043478262</v>
      </c>
      <c r="Q433" s="1">
        <f t="shared" si="39"/>
        <v>1.0356783781334351</v>
      </c>
      <c r="R433" s="1">
        <f t="shared" si="40"/>
        <v>203.87328873556669</v>
      </c>
      <c r="S433" s="1">
        <f t="shared" si="41"/>
        <v>-0.12671126443331104</v>
      </c>
    </row>
    <row r="434" spans="1:19" x14ac:dyDescent="0.35">
      <c r="A434">
        <v>433</v>
      </c>
      <c r="B434" t="s">
        <v>27</v>
      </c>
      <c r="C434">
        <v>215</v>
      </c>
      <c r="D434" t="s">
        <v>13</v>
      </c>
      <c r="E434">
        <v>40</v>
      </c>
      <c r="F434">
        <v>2</v>
      </c>
      <c r="G434">
        <v>197</v>
      </c>
      <c r="H434">
        <v>314</v>
      </c>
      <c r="I434">
        <v>89</v>
      </c>
      <c r="J434">
        <v>6</v>
      </c>
      <c r="K434" t="s">
        <v>14</v>
      </c>
      <c r="L434" t="s">
        <v>28</v>
      </c>
      <c r="M434">
        <v>3</v>
      </c>
      <c r="N434">
        <f t="shared" si="36"/>
        <v>1200</v>
      </c>
      <c r="O434">
        <f t="shared" si="37"/>
        <v>1176</v>
      </c>
      <c r="P434" s="1">
        <f t="shared" si="38"/>
        <v>13.213483146067416</v>
      </c>
      <c r="Q434" s="1">
        <f t="shared" si="39"/>
        <v>1.0019062571073449</v>
      </c>
      <c r="R434" s="1">
        <f t="shared" si="40"/>
        <v>197.22524671158084</v>
      </c>
      <c r="S434" s="1">
        <f t="shared" si="41"/>
        <v>0.2252467115808372</v>
      </c>
    </row>
    <row r="435" spans="1:19" x14ac:dyDescent="0.35">
      <c r="A435">
        <v>434</v>
      </c>
      <c r="B435" t="s">
        <v>27</v>
      </c>
      <c r="C435">
        <v>215</v>
      </c>
      <c r="D435" t="s">
        <v>13</v>
      </c>
      <c r="E435">
        <v>40</v>
      </c>
      <c r="F435">
        <v>2</v>
      </c>
      <c r="G435">
        <v>185</v>
      </c>
      <c r="H435">
        <v>304</v>
      </c>
      <c r="I435">
        <v>83</v>
      </c>
      <c r="J435">
        <v>4</v>
      </c>
      <c r="K435" t="s">
        <v>14</v>
      </c>
      <c r="L435" t="s">
        <v>28</v>
      </c>
      <c r="M435">
        <v>3</v>
      </c>
      <c r="N435">
        <f t="shared" si="36"/>
        <v>1800</v>
      </c>
      <c r="O435">
        <f t="shared" si="37"/>
        <v>1764</v>
      </c>
      <c r="P435" s="1">
        <f t="shared" si="38"/>
        <v>21.253012048192772</v>
      </c>
      <c r="Q435" s="1">
        <f t="shared" si="39"/>
        <v>0.93436201505516436</v>
      </c>
      <c r="R435" s="1">
        <f t="shared" si="40"/>
        <v>183.92916266360911</v>
      </c>
      <c r="S435" s="1">
        <f t="shared" si="41"/>
        <v>-1.0708373363908947</v>
      </c>
    </row>
    <row r="436" spans="1:19" x14ac:dyDescent="0.35">
      <c r="A436">
        <v>435</v>
      </c>
      <c r="B436" t="s">
        <v>27</v>
      </c>
      <c r="C436">
        <v>215</v>
      </c>
      <c r="D436" t="s">
        <v>13</v>
      </c>
      <c r="E436">
        <v>40</v>
      </c>
      <c r="F436">
        <v>2</v>
      </c>
      <c r="G436">
        <v>167</v>
      </c>
      <c r="H436">
        <v>335</v>
      </c>
      <c r="I436">
        <v>76</v>
      </c>
      <c r="J436">
        <v>4</v>
      </c>
      <c r="K436" t="s">
        <v>14</v>
      </c>
      <c r="L436" t="s">
        <v>28</v>
      </c>
      <c r="M436">
        <v>3</v>
      </c>
      <c r="N436">
        <f t="shared" si="36"/>
        <v>1800</v>
      </c>
      <c r="O436">
        <f t="shared" si="37"/>
        <v>1764</v>
      </c>
      <c r="P436" s="1">
        <f t="shared" si="38"/>
        <v>23.210526315789473</v>
      </c>
      <c r="Q436" s="1">
        <f t="shared" si="39"/>
        <v>0.85556039932762029</v>
      </c>
      <c r="R436" s="1">
        <f t="shared" si="40"/>
        <v>168.41706460764206</v>
      </c>
      <c r="S436" s="1">
        <f t="shared" si="41"/>
        <v>1.417064607642061</v>
      </c>
    </row>
    <row r="437" spans="1:19" x14ac:dyDescent="0.35">
      <c r="A437">
        <v>436</v>
      </c>
      <c r="B437" t="s">
        <v>27</v>
      </c>
      <c r="C437">
        <v>215</v>
      </c>
      <c r="D437" t="s">
        <v>13</v>
      </c>
      <c r="E437">
        <v>40</v>
      </c>
      <c r="F437">
        <v>2</v>
      </c>
      <c r="G437">
        <v>157</v>
      </c>
      <c r="H437">
        <v>394</v>
      </c>
      <c r="I437">
        <v>71</v>
      </c>
      <c r="J437">
        <v>6</v>
      </c>
      <c r="K437" t="s">
        <v>14</v>
      </c>
      <c r="L437" t="s">
        <v>28</v>
      </c>
      <c r="M437">
        <v>3</v>
      </c>
      <c r="N437">
        <f t="shared" si="36"/>
        <v>1200</v>
      </c>
      <c r="O437">
        <f t="shared" si="37"/>
        <v>1176</v>
      </c>
      <c r="P437" s="1">
        <f t="shared" si="38"/>
        <v>16.56338028169014</v>
      </c>
      <c r="Q437" s="1">
        <f t="shared" si="39"/>
        <v>0.79927353095080322</v>
      </c>
      <c r="R437" s="1">
        <f t="shared" si="40"/>
        <v>157.33699456766561</v>
      </c>
      <c r="S437" s="1">
        <f t="shared" si="41"/>
        <v>0.33699456766561298</v>
      </c>
    </row>
    <row r="438" spans="1:19" x14ac:dyDescent="0.35">
      <c r="A438">
        <v>437</v>
      </c>
      <c r="B438" t="s">
        <v>27</v>
      </c>
      <c r="C438">
        <v>215</v>
      </c>
      <c r="D438" t="s">
        <v>13</v>
      </c>
      <c r="E438">
        <v>40</v>
      </c>
      <c r="F438">
        <v>2</v>
      </c>
      <c r="G438">
        <v>145</v>
      </c>
      <c r="H438">
        <v>386</v>
      </c>
      <c r="I438">
        <v>65</v>
      </c>
      <c r="J438">
        <v>4</v>
      </c>
      <c r="K438" t="s">
        <v>14</v>
      </c>
      <c r="L438" t="s">
        <v>28</v>
      </c>
      <c r="M438">
        <v>3</v>
      </c>
      <c r="N438">
        <f t="shared" si="36"/>
        <v>1800</v>
      </c>
      <c r="O438">
        <f t="shared" si="37"/>
        <v>1764</v>
      </c>
      <c r="P438" s="1">
        <f t="shared" si="38"/>
        <v>27.138461538461538</v>
      </c>
      <c r="Q438" s="1">
        <f t="shared" si="39"/>
        <v>0.73172928889862254</v>
      </c>
      <c r="R438" s="1">
        <f t="shared" si="40"/>
        <v>144.04091051969385</v>
      </c>
      <c r="S438" s="1">
        <f t="shared" si="41"/>
        <v>-0.95908948030614738</v>
      </c>
    </row>
    <row r="439" spans="1:19" x14ac:dyDescent="0.35">
      <c r="A439">
        <v>438</v>
      </c>
      <c r="B439" t="s">
        <v>27</v>
      </c>
      <c r="C439">
        <v>215</v>
      </c>
      <c r="D439" t="s">
        <v>13</v>
      </c>
      <c r="E439">
        <v>40</v>
      </c>
      <c r="F439">
        <v>2</v>
      </c>
      <c r="G439">
        <v>136</v>
      </c>
      <c r="H439">
        <v>455</v>
      </c>
      <c r="I439">
        <v>61</v>
      </c>
      <c r="J439">
        <v>6</v>
      </c>
      <c r="K439" t="s">
        <v>14</v>
      </c>
      <c r="L439" t="s">
        <v>28</v>
      </c>
      <c r="M439">
        <v>3</v>
      </c>
      <c r="N439">
        <f t="shared" si="36"/>
        <v>1200</v>
      </c>
      <c r="O439">
        <f t="shared" si="37"/>
        <v>1176</v>
      </c>
      <c r="P439" s="1">
        <f t="shared" si="38"/>
        <v>19.278688524590162</v>
      </c>
      <c r="Q439" s="1">
        <f t="shared" si="39"/>
        <v>0.68669979419716887</v>
      </c>
      <c r="R439" s="1">
        <f t="shared" si="40"/>
        <v>135.17685448771269</v>
      </c>
      <c r="S439" s="1">
        <f t="shared" si="41"/>
        <v>-0.82314551228731148</v>
      </c>
    </row>
    <row r="440" spans="1:19" x14ac:dyDescent="0.35">
      <c r="A440">
        <v>439</v>
      </c>
      <c r="B440" t="s">
        <v>27</v>
      </c>
      <c r="C440">
        <v>215</v>
      </c>
      <c r="D440" t="s">
        <v>13</v>
      </c>
      <c r="E440">
        <v>40</v>
      </c>
      <c r="F440">
        <v>2</v>
      </c>
      <c r="G440">
        <v>129</v>
      </c>
      <c r="H440">
        <v>435</v>
      </c>
      <c r="I440">
        <v>58</v>
      </c>
      <c r="J440">
        <v>4</v>
      </c>
      <c r="K440" t="s">
        <v>14</v>
      </c>
      <c r="L440" t="s">
        <v>28</v>
      </c>
      <c r="M440">
        <v>3</v>
      </c>
      <c r="N440">
        <f t="shared" si="36"/>
        <v>1800</v>
      </c>
      <c r="O440">
        <f t="shared" si="37"/>
        <v>1764</v>
      </c>
      <c r="P440" s="1">
        <f t="shared" si="38"/>
        <v>30.413793103448278</v>
      </c>
      <c r="Q440" s="1">
        <f t="shared" si="39"/>
        <v>0.65292767317107869</v>
      </c>
      <c r="R440" s="1">
        <f t="shared" si="40"/>
        <v>128.52881246372684</v>
      </c>
      <c r="S440" s="1">
        <f t="shared" si="41"/>
        <v>-0.47118753627316323</v>
      </c>
    </row>
    <row r="441" spans="1:19" x14ac:dyDescent="0.35">
      <c r="A441">
        <v>440</v>
      </c>
      <c r="B441" t="s">
        <v>27</v>
      </c>
      <c r="C441">
        <v>215</v>
      </c>
      <c r="D441" t="s">
        <v>13</v>
      </c>
      <c r="E441">
        <v>40</v>
      </c>
      <c r="F441">
        <v>2</v>
      </c>
      <c r="G441">
        <v>120</v>
      </c>
      <c r="H441">
        <v>466</v>
      </c>
      <c r="I441">
        <v>54</v>
      </c>
      <c r="J441">
        <v>4</v>
      </c>
      <c r="K441" t="s">
        <v>14</v>
      </c>
      <c r="L441" t="s">
        <v>28</v>
      </c>
      <c r="M441">
        <v>3</v>
      </c>
      <c r="N441">
        <f t="shared" si="36"/>
        <v>1800</v>
      </c>
      <c r="O441">
        <f t="shared" si="37"/>
        <v>1764</v>
      </c>
      <c r="P441" s="1">
        <f t="shared" si="38"/>
        <v>32.666666666666664</v>
      </c>
      <c r="Q441" s="1">
        <f t="shared" si="39"/>
        <v>0.60789817846962491</v>
      </c>
      <c r="R441" s="1">
        <f t="shared" si="40"/>
        <v>119.66475643174566</v>
      </c>
      <c r="S441" s="1">
        <f t="shared" si="41"/>
        <v>-0.33524356825434154</v>
      </c>
    </row>
    <row r="442" spans="1:19" x14ac:dyDescent="0.35">
      <c r="A442">
        <v>441</v>
      </c>
      <c r="B442" t="s">
        <v>27</v>
      </c>
      <c r="C442">
        <v>215</v>
      </c>
      <c r="D442" t="s">
        <v>13</v>
      </c>
      <c r="E442">
        <v>40</v>
      </c>
      <c r="F442">
        <v>2</v>
      </c>
      <c r="G442">
        <v>111</v>
      </c>
      <c r="H442">
        <v>503</v>
      </c>
      <c r="I442">
        <v>50</v>
      </c>
      <c r="J442">
        <v>4</v>
      </c>
      <c r="K442" t="s">
        <v>14</v>
      </c>
      <c r="L442" t="s">
        <v>28</v>
      </c>
      <c r="M442">
        <v>3</v>
      </c>
      <c r="N442">
        <f t="shared" si="36"/>
        <v>1800</v>
      </c>
      <c r="O442">
        <f t="shared" si="37"/>
        <v>1764</v>
      </c>
      <c r="P442" s="1">
        <f t="shared" si="38"/>
        <v>35.28</v>
      </c>
      <c r="Q442" s="1">
        <f t="shared" si="39"/>
        <v>0.56286868376817134</v>
      </c>
      <c r="R442" s="1">
        <f t="shared" si="40"/>
        <v>110.80070039976452</v>
      </c>
      <c r="S442" s="1">
        <f t="shared" si="41"/>
        <v>-0.19929960023547721</v>
      </c>
    </row>
    <row r="443" spans="1:19" x14ac:dyDescent="0.35">
      <c r="A443">
        <v>442</v>
      </c>
      <c r="B443" t="s">
        <v>27</v>
      </c>
      <c r="C443">
        <v>215</v>
      </c>
      <c r="D443" t="s">
        <v>13</v>
      </c>
      <c r="E443">
        <v>40</v>
      </c>
      <c r="F443">
        <v>2</v>
      </c>
      <c r="G443">
        <v>104</v>
      </c>
      <c r="H443">
        <v>592</v>
      </c>
      <c r="I443">
        <v>47</v>
      </c>
      <c r="J443">
        <v>6</v>
      </c>
      <c r="K443" t="s">
        <v>14</v>
      </c>
      <c r="L443" t="s">
        <v>28</v>
      </c>
      <c r="M443">
        <v>3</v>
      </c>
      <c r="N443">
        <f t="shared" si="36"/>
        <v>1200</v>
      </c>
      <c r="O443">
        <f t="shared" si="37"/>
        <v>1176</v>
      </c>
      <c r="P443" s="1">
        <f t="shared" si="38"/>
        <v>25.021276595744681</v>
      </c>
      <c r="Q443" s="1">
        <f t="shared" si="39"/>
        <v>0.52909656274208106</v>
      </c>
      <c r="R443" s="1">
        <f t="shared" si="40"/>
        <v>104.15265837577866</v>
      </c>
      <c r="S443" s="1">
        <f t="shared" si="41"/>
        <v>0.15265837577865682</v>
      </c>
    </row>
    <row r="444" spans="1:19" x14ac:dyDescent="0.35">
      <c r="A444">
        <v>443</v>
      </c>
      <c r="B444" t="s">
        <v>27</v>
      </c>
      <c r="C444">
        <v>215</v>
      </c>
      <c r="D444" t="s">
        <v>13</v>
      </c>
      <c r="E444">
        <v>40</v>
      </c>
      <c r="F444">
        <v>2</v>
      </c>
      <c r="G444">
        <v>97</v>
      </c>
      <c r="H444">
        <v>639</v>
      </c>
      <c r="I444">
        <v>44</v>
      </c>
      <c r="J444">
        <v>6</v>
      </c>
      <c r="K444" t="s">
        <v>14</v>
      </c>
      <c r="L444" t="s">
        <v>28</v>
      </c>
      <c r="M444">
        <v>3</v>
      </c>
      <c r="N444">
        <f t="shared" si="36"/>
        <v>1200</v>
      </c>
      <c r="O444">
        <f t="shared" si="37"/>
        <v>1176</v>
      </c>
      <c r="P444" s="1">
        <f t="shared" si="38"/>
        <v>26.727272727272727</v>
      </c>
      <c r="Q444" s="1">
        <f t="shared" si="39"/>
        <v>0.49532444171599066</v>
      </c>
      <c r="R444" s="1">
        <f t="shared" si="40"/>
        <v>97.504616351792762</v>
      </c>
      <c r="S444" s="1">
        <f t="shared" si="41"/>
        <v>0.50461635179276243</v>
      </c>
    </row>
    <row r="445" spans="1:19" x14ac:dyDescent="0.35">
      <c r="A445">
        <v>444</v>
      </c>
      <c r="B445" t="s">
        <v>27</v>
      </c>
      <c r="C445">
        <v>215</v>
      </c>
      <c r="D445" t="s">
        <v>13</v>
      </c>
      <c r="E445">
        <v>40</v>
      </c>
      <c r="F445">
        <v>2</v>
      </c>
      <c r="G445">
        <v>86</v>
      </c>
      <c r="H445">
        <v>719</v>
      </c>
      <c r="I445">
        <v>39</v>
      </c>
      <c r="J445">
        <v>6</v>
      </c>
      <c r="K445" t="s">
        <v>14</v>
      </c>
      <c r="L445" t="s">
        <v>28</v>
      </c>
      <c r="M445">
        <v>3</v>
      </c>
      <c r="N445">
        <f t="shared" si="36"/>
        <v>1200</v>
      </c>
      <c r="O445">
        <f t="shared" si="37"/>
        <v>1176</v>
      </c>
      <c r="P445" s="1">
        <f t="shared" si="38"/>
        <v>30.153846153846153</v>
      </c>
      <c r="Q445" s="1">
        <f t="shared" si="39"/>
        <v>0.43903757333917359</v>
      </c>
      <c r="R445" s="1">
        <f t="shared" si="40"/>
        <v>86.424546311816314</v>
      </c>
      <c r="S445" s="1">
        <f t="shared" si="41"/>
        <v>0.42454631181631441</v>
      </c>
    </row>
    <row r="446" spans="1:19" x14ac:dyDescent="0.35">
      <c r="A446">
        <v>445</v>
      </c>
      <c r="B446" t="s">
        <v>27</v>
      </c>
      <c r="C446">
        <v>215</v>
      </c>
      <c r="D446" t="s">
        <v>13</v>
      </c>
      <c r="E446">
        <v>40</v>
      </c>
      <c r="F446">
        <v>2</v>
      </c>
      <c r="G446">
        <v>77</v>
      </c>
      <c r="H446">
        <v>805</v>
      </c>
      <c r="I446">
        <v>35</v>
      </c>
      <c r="J446">
        <v>6</v>
      </c>
      <c r="K446" t="s">
        <v>22</v>
      </c>
      <c r="L446" t="s">
        <v>28</v>
      </c>
      <c r="M446">
        <v>3</v>
      </c>
      <c r="N446">
        <f t="shared" si="36"/>
        <v>1200</v>
      </c>
      <c r="O446">
        <f t="shared" si="37"/>
        <v>1176</v>
      </c>
      <c r="P446" s="1">
        <f t="shared" si="38"/>
        <v>33.6</v>
      </c>
      <c r="Q446" s="1">
        <f t="shared" si="39"/>
        <v>0.39400807863771986</v>
      </c>
      <c r="R446" s="1">
        <f t="shared" si="40"/>
        <v>77.56049027983515</v>
      </c>
      <c r="S446" s="1">
        <f t="shared" si="41"/>
        <v>0.56049027983515032</v>
      </c>
    </row>
    <row r="447" spans="1:19" x14ac:dyDescent="0.35">
      <c r="A447">
        <v>446</v>
      </c>
      <c r="B447" t="s">
        <v>27</v>
      </c>
      <c r="C447">
        <v>215</v>
      </c>
      <c r="D447" t="s">
        <v>13</v>
      </c>
      <c r="E447">
        <v>40</v>
      </c>
      <c r="F447">
        <v>2</v>
      </c>
      <c r="G447">
        <v>71</v>
      </c>
      <c r="H447">
        <v>789</v>
      </c>
      <c r="I447">
        <v>32</v>
      </c>
      <c r="J447">
        <v>4</v>
      </c>
      <c r="K447" t="s">
        <v>22</v>
      </c>
      <c r="L447" t="s">
        <v>28</v>
      </c>
      <c r="M447">
        <v>3</v>
      </c>
      <c r="N447">
        <f t="shared" si="36"/>
        <v>1800</v>
      </c>
      <c r="O447">
        <f t="shared" si="37"/>
        <v>1764</v>
      </c>
      <c r="P447" s="1">
        <f t="shared" si="38"/>
        <v>55.125</v>
      </c>
      <c r="Q447" s="1">
        <f t="shared" si="39"/>
        <v>0.36023595761162958</v>
      </c>
      <c r="R447" s="1">
        <f t="shared" si="40"/>
        <v>70.912448255849284</v>
      </c>
      <c r="S447" s="1">
        <f t="shared" si="41"/>
        <v>-8.7551744150715649E-2</v>
      </c>
    </row>
    <row r="448" spans="1:19" x14ac:dyDescent="0.35">
      <c r="A448">
        <v>447</v>
      </c>
      <c r="B448" t="s">
        <v>27</v>
      </c>
      <c r="C448">
        <v>215</v>
      </c>
      <c r="D448" t="s">
        <v>13</v>
      </c>
      <c r="E448">
        <v>40</v>
      </c>
      <c r="F448">
        <v>2</v>
      </c>
      <c r="G448">
        <v>67</v>
      </c>
      <c r="H448">
        <v>928</v>
      </c>
      <c r="I448">
        <v>30</v>
      </c>
      <c r="J448">
        <v>6</v>
      </c>
      <c r="K448" t="s">
        <v>22</v>
      </c>
      <c r="L448" t="s">
        <v>28</v>
      </c>
      <c r="M448">
        <v>3</v>
      </c>
      <c r="N448">
        <f t="shared" si="36"/>
        <v>1200</v>
      </c>
      <c r="O448">
        <f t="shared" si="37"/>
        <v>1176</v>
      </c>
      <c r="P448" s="1">
        <f t="shared" si="38"/>
        <v>39.200000000000003</v>
      </c>
      <c r="Q448" s="1">
        <f t="shared" si="39"/>
        <v>0.33772121026090268</v>
      </c>
      <c r="R448" s="1">
        <f t="shared" si="40"/>
        <v>66.480420239858688</v>
      </c>
      <c r="S448" s="1">
        <f t="shared" si="41"/>
        <v>-0.51957976014131191</v>
      </c>
    </row>
    <row r="449" spans="1:19" x14ac:dyDescent="0.35">
      <c r="A449">
        <v>448</v>
      </c>
      <c r="B449" t="s">
        <v>27</v>
      </c>
      <c r="C449">
        <v>215</v>
      </c>
      <c r="D449" t="s">
        <v>13</v>
      </c>
      <c r="E449">
        <v>40</v>
      </c>
      <c r="F449">
        <v>2</v>
      </c>
      <c r="G449">
        <v>55</v>
      </c>
      <c r="H449">
        <v>1131</v>
      </c>
      <c r="I449">
        <v>25</v>
      </c>
      <c r="J449">
        <v>6</v>
      </c>
      <c r="K449" t="s">
        <v>22</v>
      </c>
      <c r="L449" t="s">
        <v>28</v>
      </c>
      <c r="M449">
        <v>3</v>
      </c>
      <c r="N449">
        <f t="shared" si="36"/>
        <v>1200</v>
      </c>
      <c r="O449">
        <f t="shared" si="37"/>
        <v>1176</v>
      </c>
      <c r="P449" s="1">
        <f t="shared" si="38"/>
        <v>47.04</v>
      </c>
      <c r="Q449" s="1">
        <f t="shared" si="39"/>
        <v>0.28143434188408567</v>
      </c>
      <c r="R449" s="1">
        <f t="shared" si="40"/>
        <v>55.400350199882261</v>
      </c>
      <c r="S449" s="1">
        <f t="shared" si="41"/>
        <v>0.40035019988226139</v>
      </c>
    </row>
    <row r="450" spans="1:19" x14ac:dyDescent="0.35">
      <c r="A450">
        <v>449</v>
      </c>
      <c r="B450" t="s">
        <v>27</v>
      </c>
      <c r="C450">
        <v>215</v>
      </c>
      <c r="D450" t="s">
        <v>13</v>
      </c>
      <c r="E450">
        <v>40</v>
      </c>
      <c r="F450">
        <v>2</v>
      </c>
      <c r="G450">
        <v>47</v>
      </c>
      <c r="H450">
        <v>1304</v>
      </c>
      <c r="I450">
        <v>21</v>
      </c>
      <c r="J450">
        <v>6</v>
      </c>
      <c r="K450" t="s">
        <v>22</v>
      </c>
      <c r="L450" t="s">
        <v>28</v>
      </c>
      <c r="M450">
        <v>3</v>
      </c>
      <c r="N450">
        <f t="shared" si="36"/>
        <v>1200</v>
      </c>
      <c r="O450">
        <f t="shared" si="37"/>
        <v>1176</v>
      </c>
      <c r="P450" s="1">
        <f t="shared" si="38"/>
        <v>56</v>
      </c>
      <c r="Q450" s="1">
        <f t="shared" si="39"/>
        <v>0.23640484718263194</v>
      </c>
      <c r="R450" s="1">
        <f t="shared" si="40"/>
        <v>46.536294167901097</v>
      </c>
      <c r="S450" s="1">
        <f t="shared" si="41"/>
        <v>-0.4637058320989027</v>
      </c>
    </row>
    <row r="451" spans="1:19" x14ac:dyDescent="0.35">
      <c r="A451">
        <v>450</v>
      </c>
      <c r="B451" t="s">
        <v>29</v>
      </c>
      <c r="C451">
        <v>215</v>
      </c>
      <c r="D451" t="s">
        <v>13</v>
      </c>
      <c r="E451">
        <v>50</v>
      </c>
      <c r="F451">
        <v>7.5</v>
      </c>
      <c r="G451">
        <v>142</v>
      </c>
      <c r="H451">
        <v>1559</v>
      </c>
      <c r="I451">
        <v>64</v>
      </c>
      <c r="J451">
        <v>2</v>
      </c>
      <c r="K451" t="s">
        <v>16</v>
      </c>
      <c r="L451" t="s">
        <v>30</v>
      </c>
      <c r="M451">
        <v>3</v>
      </c>
      <c r="N451">
        <f t="shared" ref="N451:N514" si="42">60*60*2/J451</f>
        <v>3600</v>
      </c>
      <c r="O451">
        <f t="shared" ref="O451:O514" si="43">N451*(1-0.02)</f>
        <v>3528</v>
      </c>
      <c r="P451" s="1">
        <f t="shared" ref="P451:P514" si="44">O451/I451</f>
        <v>55.125</v>
      </c>
      <c r="Q451" s="1">
        <f t="shared" ref="Q451:Q514" si="45">(I451*2*PI()/60)*(C451/2000)</f>
        <v>0.72047191522325915</v>
      </c>
      <c r="R451" s="1">
        <f t="shared" ref="R451:R514" si="46">Q451*196.85</f>
        <v>141.82489651169857</v>
      </c>
      <c r="S451" s="1">
        <f t="shared" ref="S451:S514" si="47">R451-G451</f>
        <v>-0.1751034883014313</v>
      </c>
    </row>
    <row r="452" spans="1:19" x14ac:dyDescent="0.35">
      <c r="A452">
        <v>451</v>
      </c>
      <c r="B452" t="s">
        <v>29</v>
      </c>
      <c r="C452">
        <v>215</v>
      </c>
      <c r="D452" t="s">
        <v>13</v>
      </c>
      <c r="E452">
        <v>50</v>
      </c>
      <c r="F452">
        <v>7.5</v>
      </c>
      <c r="G452">
        <v>129</v>
      </c>
      <c r="H452">
        <v>1714</v>
      </c>
      <c r="I452">
        <v>58</v>
      </c>
      <c r="J452">
        <v>2</v>
      </c>
      <c r="K452" t="s">
        <v>16</v>
      </c>
      <c r="L452" t="s">
        <v>30</v>
      </c>
      <c r="M452">
        <v>3</v>
      </c>
      <c r="N452">
        <f t="shared" si="42"/>
        <v>3600</v>
      </c>
      <c r="O452">
        <f t="shared" si="43"/>
        <v>3528</v>
      </c>
      <c r="P452" s="1">
        <f t="shared" si="44"/>
        <v>60.827586206896555</v>
      </c>
      <c r="Q452" s="1">
        <f t="shared" si="45"/>
        <v>0.65292767317107869</v>
      </c>
      <c r="R452" s="1">
        <f t="shared" si="46"/>
        <v>128.52881246372684</v>
      </c>
      <c r="S452" s="1">
        <f t="shared" si="47"/>
        <v>-0.47118753627316323</v>
      </c>
    </row>
    <row r="453" spans="1:19" x14ac:dyDescent="0.35">
      <c r="A453">
        <v>452</v>
      </c>
      <c r="B453" t="s">
        <v>29</v>
      </c>
      <c r="C453">
        <v>215</v>
      </c>
      <c r="D453" t="s">
        <v>13</v>
      </c>
      <c r="E453">
        <v>50</v>
      </c>
      <c r="F453">
        <v>5</v>
      </c>
      <c r="G453">
        <v>142</v>
      </c>
      <c r="H453">
        <v>1275</v>
      </c>
      <c r="I453">
        <v>64</v>
      </c>
      <c r="J453">
        <v>2</v>
      </c>
      <c r="K453" t="s">
        <v>16</v>
      </c>
      <c r="L453" t="s">
        <v>30</v>
      </c>
      <c r="M453">
        <v>3</v>
      </c>
      <c r="N453">
        <f t="shared" si="42"/>
        <v>3600</v>
      </c>
      <c r="O453">
        <f t="shared" si="43"/>
        <v>3528</v>
      </c>
      <c r="P453" s="1">
        <f t="shared" si="44"/>
        <v>55.125</v>
      </c>
      <c r="Q453" s="1">
        <f t="shared" si="45"/>
        <v>0.72047191522325915</v>
      </c>
      <c r="R453" s="1">
        <f t="shared" si="46"/>
        <v>141.82489651169857</v>
      </c>
      <c r="S453" s="1">
        <f t="shared" si="47"/>
        <v>-0.1751034883014313</v>
      </c>
    </row>
    <row r="454" spans="1:19" x14ac:dyDescent="0.35">
      <c r="A454">
        <v>453</v>
      </c>
      <c r="B454" t="s">
        <v>29</v>
      </c>
      <c r="C454">
        <v>215</v>
      </c>
      <c r="D454" t="s">
        <v>13</v>
      </c>
      <c r="E454">
        <v>50</v>
      </c>
      <c r="F454">
        <v>5</v>
      </c>
      <c r="G454">
        <v>129</v>
      </c>
      <c r="H454">
        <v>1403</v>
      </c>
      <c r="I454">
        <v>58</v>
      </c>
      <c r="J454">
        <v>2</v>
      </c>
      <c r="K454" t="s">
        <v>16</v>
      </c>
      <c r="L454" t="s">
        <v>30</v>
      </c>
      <c r="M454">
        <v>3</v>
      </c>
      <c r="N454">
        <f t="shared" si="42"/>
        <v>3600</v>
      </c>
      <c r="O454">
        <f t="shared" si="43"/>
        <v>3528</v>
      </c>
      <c r="P454" s="1">
        <f t="shared" si="44"/>
        <v>60.827586206896555</v>
      </c>
      <c r="Q454" s="1">
        <f t="shared" si="45"/>
        <v>0.65292767317107869</v>
      </c>
      <c r="R454" s="1">
        <f t="shared" si="46"/>
        <v>128.52881246372684</v>
      </c>
      <c r="S454" s="1">
        <f t="shared" si="47"/>
        <v>-0.47118753627316323</v>
      </c>
    </row>
    <row r="455" spans="1:19" x14ac:dyDescent="0.35">
      <c r="A455">
        <v>454</v>
      </c>
      <c r="B455" t="s">
        <v>29</v>
      </c>
      <c r="C455">
        <v>215</v>
      </c>
      <c r="D455" t="s">
        <v>13</v>
      </c>
      <c r="E455">
        <v>50</v>
      </c>
      <c r="F455">
        <v>5</v>
      </c>
      <c r="G455">
        <v>71</v>
      </c>
      <c r="H455">
        <v>2317</v>
      </c>
      <c r="I455">
        <v>32</v>
      </c>
      <c r="J455">
        <v>4</v>
      </c>
      <c r="K455" t="s">
        <v>16</v>
      </c>
      <c r="L455" t="s">
        <v>30</v>
      </c>
      <c r="M455">
        <v>3</v>
      </c>
      <c r="N455">
        <f t="shared" si="42"/>
        <v>1800</v>
      </c>
      <c r="O455">
        <f t="shared" si="43"/>
        <v>1764</v>
      </c>
      <c r="P455" s="1">
        <f t="shared" si="44"/>
        <v>55.125</v>
      </c>
      <c r="Q455" s="1">
        <f t="shared" si="45"/>
        <v>0.36023595761162958</v>
      </c>
      <c r="R455" s="1">
        <f t="shared" si="46"/>
        <v>70.912448255849284</v>
      </c>
      <c r="S455" s="1">
        <f t="shared" si="47"/>
        <v>-8.7551744150715649E-2</v>
      </c>
    </row>
    <row r="456" spans="1:19" x14ac:dyDescent="0.35">
      <c r="A456">
        <v>455</v>
      </c>
      <c r="B456" t="s">
        <v>29</v>
      </c>
      <c r="C456">
        <v>215</v>
      </c>
      <c r="D456" t="s">
        <v>13</v>
      </c>
      <c r="E456">
        <v>50</v>
      </c>
      <c r="F456">
        <v>5</v>
      </c>
      <c r="G456">
        <v>65</v>
      </c>
      <c r="H456">
        <v>2531</v>
      </c>
      <c r="I456">
        <v>29</v>
      </c>
      <c r="J456">
        <v>4</v>
      </c>
      <c r="K456" t="s">
        <v>16</v>
      </c>
      <c r="L456" t="s">
        <v>30</v>
      </c>
      <c r="M456">
        <v>3</v>
      </c>
      <c r="N456">
        <f t="shared" si="42"/>
        <v>1800</v>
      </c>
      <c r="O456">
        <f t="shared" si="43"/>
        <v>1764</v>
      </c>
      <c r="P456" s="1">
        <f t="shared" si="44"/>
        <v>60.827586206896555</v>
      </c>
      <c r="Q456" s="1">
        <f t="shared" si="45"/>
        <v>0.32646383658553935</v>
      </c>
      <c r="R456" s="1">
        <f t="shared" si="46"/>
        <v>64.264406231863418</v>
      </c>
      <c r="S456" s="1">
        <f t="shared" si="47"/>
        <v>-0.73559376813658162</v>
      </c>
    </row>
    <row r="457" spans="1:19" x14ac:dyDescent="0.35">
      <c r="A457">
        <v>456</v>
      </c>
      <c r="B457" t="s">
        <v>29</v>
      </c>
      <c r="C457">
        <v>215</v>
      </c>
      <c r="D457" t="s">
        <v>13</v>
      </c>
      <c r="E457">
        <v>50</v>
      </c>
      <c r="F457">
        <v>3</v>
      </c>
      <c r="G457">
        <v>71</v>
      </c>
      <c r="H457">
        <v>1241</v>
      </c>
      <c r="I457">
        <v>32</v>
      </c>
      <c r="J457">
        <v>4</v>
      </c>
      <c r="K457" t="s">
        <v>16</v>
      </c>
      <c r="L457" t="s">
        <v>30</v>
      </c>
      <c r="M457">
        <v>3</v>
      </c>
      <c r="N457">
        <f t="shared" si="42"/>
        <v>1800</v>
      </c>
      <c r="O457">
        <f t="shared" si="43"/>
        <v>1764</v>
      </c>
      <c r="P457" s="1">
        <f t="shared" si="44"/>
        <v>55.125</v>
      </c>
      <c r="Q457" s="1">
        <f t="shared" si="45"/>
        <v>0.36023595761162958</v>
      </c>
      <c r="R457" s="1">
        <f t="shared" si="46"/>
        <v>70.912448255849284</v>
      </c>
      <c r="S457" s="1">
        <f t="shared" si="47"/>
        <v>-8.7551744150715649E-2</v>
      </c>
    </row>
    <row r="458" spans="1:19" x14ac:dyDescent="0.35">
      <c r="A458">
        <v>457</v>
      </c>
      <c r="B458" t="s">
        <v>29</v>
      </c>
      <c r="C458">
        <v>215</v>
      </c>
      <c r="D458" t="s">
        <v>13</v>
      </c>
      <c r="E458">
        <v>50</v>
      </c>
      <c r="F458">
        <v>3</v>
      </c>
      <c r="G458">
        <v>65</v>
      </c>
      <c r="H458">
        <v>1365</v>
      </c>
      <c r="I458">
        <v>29</v>
      </c>
      <c r="J458">
        <v>4</v>
      </c>
      <c r="K458" t="s">
        <v>16</v>
      </c>
      <c r="L458" t="s">
        <v>30</v>
      </c>
      <c r="M458">
        <v>3</v>
      </c>
      <c r="N458">
        <f t="shared" si="42"/>
        <v>1800</v>
      </c>
      <c r="O458">
        <f t="shared" si="43"/>
        <v>1764</v>
      </c>
      <c r="P458" s="1">
        <f t="shared" si="44"/>
        <v>60.827586206896555</v>
      </c>
      <c r="Q458" s="1">
        <f t="shared" si="45"/>
        <v>0.32646383658553935</v>
      </c>
      <c r="R458" s="1">
        <f t="shared" si="46"/>
        <v>64.264406231863418</v>
      </c>
      <c r="S458" s="1">
        <f t="shared" si="47"/>
        <v>-0.73559376813658162</v>
      </c>
    </row>
    <row r="459" spans="1:19" x14ac:dyDescent="0.35">
      <c r="A459">
        <v>458</v>
      </c>
      <c r="B459" t="s">
        <v>29</v>
      </c>
      <c r="C459">
        <v>215</v>
      </c>
      <c r="D459" t="s">
        <v>13</v>
      </c>
      <c r="E459">
        <v>50</v>
      </c>
      <c r="F459">
        <v>3</v>
      </c>
      <c r="G459">
        <v>47</v>
      </c>
      <c r="H459">
        <v>1887</v>
      </c>
      <c r="I459">
        <v>21</v>
      </c>
      <c r="J459">
        <v>6</v>
      </c>
      <c r="K459" t="s">
        <v>16</v>
      </c>
      <c r="L459" t="s">
        <v>30</v>
      </c>
      <c r="M459">
        <v>3</v>
      </c>
      <c r="N459">
        <f t="shared" si="42"/>
        <v>1200</v>
      </c>
      <c r="O459">
        <f t="shared" si="43"/>
        <v>1176</v>
      </c>
      <c r="P459" s="1">
        <f t="shared" si="44"/>
        <v>56</v>
      </c>
      <c r="Q459" s="1">
        <f t="shared" si="45"/>
        <v>0.23640484718263194</v>
      </c>
      <c r="R459" s="1">
        <f t="shared" si="46"/>
        <v>46.536294167901097</v>
      </c>
      <c r="S459" s="1">
        <f t="shared" si="47"/>
        <v>-0.4637058320989027</v>
      </c>
    </row>
    <row r="460" spans="1:19" x14ac:dyDescent="0.35">
      <c r="A460">
        <v>459</v>
      </c>
      <c r="B460" t="s">
        <v>29</v>
      </c>
      <c r="C460">
        <v>215</v>
      </c>
      <c r="D460" t="s">
        <v>13</v>
      </c>
      <c r="E460">
        <v>50</v>
      </c>
      <c r="F460">
        <v>3</v>
      </c>
      <c r="G460">
        <v>43</v>
      </c>
      <c r="H460">
        <v>2075</v>
      </c>
      <c r="I460">
        <v>19</v>
      </c>
      <c r="J460">
        <v>6</v>
      </c>
      <c r="K460" t="s">
        <v>16</v>
      </c>
      <c r="L460" t="s">
        <v>30</v>
      </c>
      <c r="M460">
        <v>3</v>
      </c>
      <c r="N460">
        <f t="shared" si="42"/>
        <v>1200</v>
      </c>
      <c r="O460">
        <f t="shared" si="43"/>
        <v>1176</v>
      </c>
      <c r="P460" s="1">
        <f t="shared" si="44"/>
        <v>61.89473684210526</v>
      </c>
      <c r="Q460" s="1">
        <f t="shared" si="45"/>
        <v>0.21389009983190507</v>
      </c>
      <c r="R460" s="1">
        <f t="shared" si="46"/>
        <v>42.104266151910515</v>
      </c>
      <c r="S460" s="1">
        <f t="shared" si="47"/>
        <v>-0.89573384808948475</v>
      </c>
    </row>
    <row r="461" spans="1:19" x14ac:dyDescent="0.35">
      <c r="A461">
        <v>460</v>
      </c>
      <c r="B461" t="s">
        <v>29</v>
      </c>
      <c r="C461">
        <v>215</v>
      </c>
      <c r="D461" t="s">
        <v>13</v>
      </c>
      <c r="E461">
        <v>50</v>
      </c>
      <c r="F461">
        <v>2</v>
      </c>
      <c r="G461">
        <v>48</v>
      </c>
      <c r="H461">
        <v>1291</v>
      </c>
      <c r="I461">
        <v>22</v>
      </c>
      <c r="J461">
        <v>6</v>
      </c>
      <c r="K461" t="s">
        <v>16</v>
      </c>
      <c r="L461" t="s">
        <v>30</v>
      </c>
      <c r="M461">
        <v>3</v>
      </c>
      <c r="N461">
        <f t="shared" si="42"/>
        <v>1200</v>
      </c>
      <c r="O461">
        <f t="shared" si="43"/>
        <v>1176</v>
      </c>
      <c r="P461" s="1">
        <f t="shared" si="44"/>
        <v>53.454545454545453</v>
      </c>
      <c r="Q461" s="1">
        <f t="shared" si="45"/>
        <v>0.24766222085799533</v>
      </c>
      <c r="R461" s="1">
        <f t="shared" si="46"/>
        <v>48.752308175896381</v>
      </c>
      <c r="S461" s="1">
        <f t="shared" si="47"/>
        <v>0.75230817589638121</v>
      </c>
    </row>
    <row r="462" spans="1:19" x14ac:dyDescent="0.35">
      <c r="A462">
        <v>461</v>
      </c>
      <c r="B462" t="s">
        <v>29</v>
      </c>
      <c r="C462">
        <v>215</v>
      </c>
      <c r="D462" t="s">
        <v>13</v>
      </c>
      <c r="E462">
        <v>50</v>
      </c>
      <c r="F462">
        <v>2</v>
      </c>
      <c r="G462">
        <v>44</v>
      </c>
      <c r="H462">
        <v>1419</v>
      </c>
      <c r="I462">
        <v>20</v>
      </c>
      <c r="J462">
        <v>6</v>
      </c>
      <c r="K462" t="s">
        <v>16</v>
      </c>
      <c r="L462" t="s">
        <v>30</v>
      </c>
      <c r="M462">
        <v>3</v>
      </c>
      <c r="N462">
        <f t="shared" si="42"/>
        <v>1200</v>
      </c>
      <c r="O462">
        <f t="shared" si="43"/>
        <v>1176</v>
      </c>
      <c r="P462" s="1">
        <f t="shared" si="44"/>
        <v>58.8</v>
      </c>
      <c r="Q462" s="1">
        <f t="shared" si="45"/>
        <v>0.22514747350726849</v>
      </c>
      <c r="R462" s="1">
        <f t="shared" si="46"/>
        <v>44.320280159905799</v>
      </c>
      <c r="S462" s="1">
        <f t="shared" si="47"/>
        <v>0.32028015990579917</v>
      </c>
    </row>
    <row r="463" spans="1:19" x14ac:dyDescent="0.35">
      <c r="A463">
        <v>462</v>
      </c>
      <c r="B463" t="s">
        <v>31</v>
      </c>
      <c r="C463">
        <v>315</v>
      </c>
      <c r="D463" t="s">
        <v>32</v>
      </c>
      <c r="E463">
        <v>75</v>
      </c>
      <c r="F463">
        <v>15</v>
      </c>
      <c r="G463">
        <v>100</v>
      </c>
      <c r="H463">
        <v>4500</v>
      </c>
      <c r="I463">
        <v>31</v>
      </c>
      <c r="J463">
        <v>2</v>
      </c>
      <c r="K463" t="s">
        <v>17</v>
      </c>
      <c r="L463" t="s">
        <v>33</v>
      </c>
      <c r="M463">
        <v>3</v>
      </c>
      <c r="N463">
        <f t="shared" si="42"/>
        <v>3600</v>
      </c>
      <c r="O463">
        <f t="shared" si="43"/>
        <v>3528</v>
      </c>
      <c r="P463" s="1">
        <f t="shared" si="44"/>
        <v>113.80645161290323</v>
      </c>
      <c r="Q463" s="1">
        <f t="shared" si="45"/>
        <v>0.51129420437173878</v>
      </c>
      <c r="R463" s="1">
        <f t="shared" si="46"/>
        <v>100.64826413057678</v>
      </c>
      <c r="S463" s="1">
        <f t="shared" si="47"/>
        <v>0.64826413057677712</v>
      </c>
    </row>
    <row r="464" spans="1:19" x14ac:dyDescent="0.35">
      <c r="A464">
        <v>463</v>
      </c>
      <c r="B464" t="s">
        <v>31</v>
      </c>
      <c r="C464">
        <v>315</v>
      </c>
      <c r="D464" t="s">
        <v>32</v>
      </c>
      <c r="E464">
        <v>75</v>
      </c>
      <c r="F464">
        <v>15</v>
      </c>
      <c r="G464">
        <v>80</v>
      </c>
      <c r="H464">
        <v>5700</v>
      </c>
      <c r="I464">
        <v>25</v>
      </c>
      <c r="J464">
        <v>2</v>
      </c>
      <c r="K464" t="s">
        <v>17</v>
      </c>
      <c r="L464" t="s">
        <v>33</v>
      </c>
      <c r="M464">
        <v>3</v>
      </c>
      <c r="N464">
        <f t="shared" si="42"/>
        <v>3600</v>
      </c>
      <c r="O464">
        <f t="shared" si="43"/>
        <v>3528</v>
      </c>
      <c r="P464" s="1">
        <f t="shared" si="44"/>
        <v>141.12</v>
      </c>
      <c r="Q464" s="1">
        <f t="shared" si="45"/>
        <v>0.41233403578366035</v>
      </c>
      <c r="R464" s="1">
        <f t="shared" si="46"/>
        <v>81.16795494401353</v>
      </c>
      <c r="S464" s="1">
        <f t="shared" si="47"/>
        <v>1.1679549440135304</v>
      </c>
    </row>
    <row r="465" spans="1:19" x14ac:dyDescent="0.35">
      <c r="A465">
        <v>464</v>
      </c>
      <c r="B465" t="s">
        <v>31</v>
      </c>
      <c r="C465">
        <v>315</v>
      </c>
      <c r="D465" t="s">
        <v>32</v>
      </c>
      <c r="E465">
        <v>75</v>
      </c>
      <c r="F465">
        <v>10</v>
      </c>
      <c r="G465">
        <v>50</v>
      </c>
      <c r="H465">
        <v>6087</v>
      </c>
      <c r="I465">
        <v>15</v>
      </c>
      <c r="J465">
        <v>4</v>
      </c>
      <c r="K465" t="s">
        <v>17</v>
      </c>
      <c r="L465" t="s">
        <v>33</v>
      </c>
      <c r="M465">
        <v>3</v>
      </c>
      <c r="N465">
        <f t="shared" si="42"/>
        <v>1800</v>
      </c>
      <c r="O465">
        <f t="shared" si="43"/>
        <v>1764</v>
      </c>
      <c r="P465" s="1">
        <f t="shared" si="44"/>
        <v>117.6</v>
      </c>
      <c r="Q465" s="1">
        <f t="shared" si="45"/>
        <v>0.24740042147019617</v>
      </c>
      <c r="R465" s="1">
        <f t="shared" si="46"/>
        <v>48.700772966408117</v>
      </c>
      <c r="S465" s="1">
        <f t="shared" si="47"/>
        <v>-1.2992270335918832</v>
      </c>
    </row>
    <row r="466" spans="1:19" x14ac:dyDescent="0.35">
      <c r="A466">
        <v>465</v>
      </c>
      <c r="B466" t="s">
        <v>31</v>
      </c>
      <c r="C466">
        <v>315</v>
      </c>
      <c r="D466" t="s">
        <v>32</v>
      </c>
      <c r="E466">
        <v>75</v>
      </c>
      <c r="F466">
        <v>10</v>
      </c>
      <c r="G466">
        <v>40</v>
      </c>
      <c r="H466">
        <v>7600</v>
      </c>
      <c r="I466">
        <v>12</v>
      </c>
      <c r="J466">
        <v>4</v>
      </c>
      <c r="K466" t="s">
        <v>17</v>
      </c>
      <c r="L466" t="s">
        <v>33</v>
      </c>
      <c r="M466">
        <v>3</v>
      </c>
      <c r="N466">
        <f t="shared" si="42"/>
        <v>1800</v>
      </c>
      <c r="O466">
        <f t="shared" si="43"/>
        <v>1764</v>
      </c>
      <c r="P466" s="1">
        <f t="shared" si="44"/>
        <v>147</v>
      </c>
      <c r="Q466" s="1">
        <f t="shared" si="45"/>
        <v>0.19792033717615698</v>
      </c>
      <c r="R466" s="1">
        <f t="shared" si="46"/>
        <v>38.960618373126501</v>
      </c>
      <c r="S466" s="1">
        <f t="shared" si="47"/>
        <v>-1.0393816268734994</v>
      </c>
    </row>
    <row r="467" spans="1:19" x14ac:dyDescent="0.35">
      <c r="A467">
        <v>466</v>
      </c>
      <c r="B467" t="s">
        <v>31</v>
      </c>
      <c r="C467">
        <v>315</v>
      </c>
      <c r="D467" t="s">
        <v>32</v>
      </c>
      <c r="E467">
        <v>75</v>
      </c>
      <c r="F467">
        <v>10</v>
      </c>
      <c r="G467">
        <v>30</v>
      </c>
      <c r="H467">
        <v>11000</v>
      </c>
      <c r="I467">
        <v>9</v>
      </c>
      <c r="J467">
        <v>4</v>
      </c>
      <c r="K467" t="s">
        <v>17</v>
      </c>
      <c r="L467" t="s">
        <v>33</v>
      </c>
      <c r="M467">
        <v>3</v>
      </c>
      <c r="N467">
        <f t="shared" si="42"/>
        <v>1800</v>
      </c>
      <c r="O467">
        <f t="shared" si="43"/>
        <v>1764</v>
      </c>
      <c r="P467" s="1">
        <f t="shared" si="44"/>
        <v>196</v>
      </c>
      <c r="Q467" s="1">
        <f t="shared" si="45"/>
        <v>0.14844025288211773</v>
      </c>
      <c r="R467" s="1">
        <f t="shared" si="46"/>
        <v>29.220463779844874</v>
      </c>
      <c r="S467" s="1">
        <f t="shared" si="47"/>
        <v>-0.77953622015512636</v>
      </c>
    </row>
    <row r="468" spans="1:19" x14ac:dyDescent="0.35">
      <c r="A468">
        <v>467</v>
      </c>
      <c r="B468" t="s">
        <v>34</v>
      </c>
      <c r="C468">
        <v>315</v>
      </c>
      <c r="D468" t="s">
        <v>13</v>
      </c>
      <c r="E468">
        <v>50</v>
      </c>
      <c r="F468">
        <v>15</v>
      </c>
      <c r="G468">
        <v>661</v>
      </c>
      <c r="H468">
        <v>698</v>
      </c>
      <c r="I468">
        <v>204</v>
      </c>
      <c r="J468">
        <v>2</v>
      </c>
      <c r="K468" t="s">
        <v>14</v>
      </c>
      <c r="L468" t="s">
        <v>35</v>
      </c>
      <c r="M468">
        <v>3</v>
      </c>
      <c r="N468">
        <f t="shared" si="42"/>
        <v>3600</v>
      </c>
      <c r="O468">
        <f t="shared" si="43"/>
        <v>3528</v>
      </c>
      <c r="P468" s="1">
        <f t="shared" si="44"/>
        <v>17.294117647058822</v>
      </c>
      <c r="Q468" s="1">
        <f t="shared" si="45"/>
        <v>3.3646457319946683</v>
      </c>
      <c r="R468" s="1">
        <f t="shared" si="46"/>
        <v>662.33051234315042</v>
      </c>
      <c r="S468" s="1">
        <f t="shared" si="47"/>
        <v>1.3305123431504171</v>
      </c>
    </row>
    <row r="469" spans="1:19" x14ac:dyDescent="0.35">
      <c r="A469">
        <v>468</v>
      </c>
      <c r="B469" t="s">
        <v>34</v>
      </c>
      <c r="C469">
        <v>315</v>
      </c>
      <c r="D469" t="s">
        <v>13</v>
      </c>
      <c r="E469">
        <v>50</v>
      </c>
      <c r="F469">
        <v>15</v>
      </c>
      <c r="G469">
        <v>591</v>
      </c>
      <c r="H469">
        <v>782</v>
      </c>
      <c r="I469">
        <v>182</v>
      </c>
      <c r="J469">
        <v>2</v>
      </c>
      <c r="K469" t="s">
        <v>14</v>
      </c>
      <c r="L469" t="s">
        <v>35</v>
      </c>
      <c r="M469">
        <v>3</v>
      </c>
      <c r="N469">
        <f t="shared" si="42"/>
        <v>3600</v>
      </c>
      <c r="O469">
        <f t="shared" si="43"/>
        <v>3528</v>
      </c>
      <c r="P469" s="1">
        <f t="shared" si="44"/>
        <v>19.384615384615383</v>
      </c>
      <c r="Q469" s="1">
        <f t="shared" si="45"/>
        <v>3.0017917805050476</v>
      </c>
      <c r="R469" s="1">
        <f t="shared" si="46"/>
        <v>590.90271199241863</v>
      </c>
      <c r="S469" s="1">
        <f t="shared" si="47"/>
        <v>-9.7288007581369129E-2</v>
      </c>
    </row>
    <row r="470" spans="1:19" x14ac:dyDescent="0.35">
      <c r="A470">
        <v>469</v>
      </c>
      <c r="B470" t="s">
        <v>34</v>
      </c>
      <c r="C470">
        <v>315</v>
      </c>
      <c r="D470" t="s">
        <v>13</v>
      </c>
      <c r="E470">
        <v>50</v>
      </c>
      <c r="F470">
        <v>15</v>
      </c>
      <c r="G470">
        <v>567</v>
      </c>
      <c r="H470">
        <v>814</v>
      </c>
      <c r="I470">
        <v>175</v>
      </c>
      <c r="J470">
        <v>2</v>
      </c>
      <c r="K470" t="s">
        <v>14</v>
      </c>
      <c r="L470" t="s">
        <v>35</v>
      </c>
      <c r="M470">
        <v>3</v>
      </c>
      <c r="N470">
        <f t="shared" si="42"/>
        <v>3600</v>
      </c>
      <c r="O470">
        <f t="shared" si="43"/>
        <v>3528</v>
      </c>
      <c r="P470" s="1">
        <f t="shared" si="44"/>
        <v>20.16</v>
      </c>
      <c r="Q470" s="1">
        <f t="shared" si="45"/>
        <v>2.8863382504856219</v>
      </c>
      <c r="R470" s="1">
        <f t="shared" si="46"/>
        <v>568.17568460809468</v>
      </c>
      <c r="S470" s="1">
        <f t="shared" si="47"/>
        <v>1.1756846080946843</v>
      </c>
    </row>
    <row r="471" spans="1:19" x14ac:dyDescent="0.35">
      <c r="A471">
        <v>470</v>
      </c>
      <c r="B471" t="s">
        <v>34</v>
      </c>
      <c r="C471">
        <v>315</v>
      </c>
      <c r="D471" t="s">
        <v>13</v>
      </c>
      <c r="E471">
        <v>50</v>
      </c>
      <c r="F471">
        <v>15</v>
      </c>
      <c r="G471">
        <v>520</v>
      </c>
      <c r="H471">
        <v>888</v>
      </c>
      <c r="I471">
        <v>160</v>
      </c>
      <c r="J471">
        <v>2</v>
      </c>
      <c r="K471" t="s">
        <v>14</v>
      </c>
      <c r="L471" t="s">
        <v>35</v>
      </c>
      <c r="M471">
        <v>3</v>
      </c>
      <c r="N471">
        <f t="shared" si="42"/>
        <v>3600</v>
      </c>
      <c r="O471">
        <f t="shared" si="43"/>
        <v>3528</v>
      </c>
      <c r="P471" s="1">
        <f t="shared" si="44"/>
        <v>22.05</v>
      </c>
      <c r="Q471" s="1">
        <f t="shared" si="45"/>
        <v>2.638937829015426</v>
      </c>
      <c r="R471" s="1">
        <f t="shared" si="46"/>
        <v>519.47491164168662</v>
      </c>
      <c r="S471" s="1">
        <f t="shared" si="47"/>
        <v>-0.52508835831338274</v>
      </c>
    </row>
    <row r="472" spans="1:19" x14ac:dyDescent="0.35">
      <c r="A472">
        <v>471</v>
      </c>
      <c r="B472" t="s">
        <v>34</v>
      </c>
      <c r="C472">
        <v>315</v>
      </c>
      <c r="D472" t="s">
        <v>13</v>
      </c>
      <c r="E472">
        <v>50</v>
      </c>
      <c r="F472">
        <v>15</v>
      </c>
      <c r="G472">
        <v>449</v>
      </c>
      <c r="H472">
        <v>1029</v>
      </c>
      <c r="I472">
        <v>138</v>
      </c>
      <c r="J472">
        <v>2</v>
      </c>
      <c r="K472" t="s">
        <v>14</v>
      </c>
      <c r="L472" t="s">
        <v>35</v>
      </c>
      <c r="M472">
        <v>3</v>
      </c>
      <c r="N472">
        <f t="shared" si="42"/>
        <v>3600</v>
      </c>
      <c r="O472">
        <f t="shared" si="43"/>
        <v>3528</v>
      </c>
      <c r="P472" s="1">
        <f t="shared" si="44"/>
        <v>25.565217391304348</v>
      </c>
      <c r="Q472" s="1">
        <f t="shared" si="45"/>
        <v>2.2760838775258052</v>
      </c>
      <c r="R472" s="1">
        <f t="shared" si="46"/>
        <v>448.04711129095472</v>
      </c>
      <c r="S472" s="1">
        <f t="shared" si="47"/>
        <v>-0.95288870904528267</v>
      </c>
    </row>
    <row r="473" spans="1:19" x14ac:dyDescent="0.35">
      <c r="A473">
        <v>472</v>
      </c>
      <c r="B473" t="s">
        <v>34</v>
      </c>
      <c r="C473">
        <v>315</v>
      </c>
      <c r="D473" t="s">
        <v>13</v>
      </c>
      <c r="E473">
        <v>50</v>
      </c>
      <c r="F473">
        <v>15</v>
      </c>
      <c r="G473">
        <v>378</v>
      </c>
      <c r="H473">
        <v>1185</v>
      </c>
      <c r="I473">
        <v>116</v>
      </c>
      <c r="J473">
        <v>2</v>
      </c>
      <c r="K473" t="s">
        <v>14</v>
      </c>
      <c r="L473" t="s">
        <v>35</v>
      </c>
      <c r="M473">
        <v>3</v>
      </c>
      <c r="N473">
        <f t="shared" si="42"/>
        <v>3600</v>
      </c>
      <c r="O473">
        <f t="shared" si="43"/>
        <v>3528</v>
      </c>
      <c r="P473" s="1">
        <f t="shared" si="44"/>
        <v>30.413793103448278</v>
      </c>
      <c r="Q473" s="1">
        <f t="shared" si="45"/>
        <v>1.9132299260361842</v>
      </c>
      <c r="R473" s="1">
        <f t="shared" si="46"/>
        <v>376.61931094022287</v>
      </c>
      <c r="S473" s="1">
        <f t="shared" si="47"/>
        <v>-1.3806890597771257</v>
      </c>
    </row>
    <row r="474" spans="1:19" x14ac:dyDescent="0.35">
      <c r="A474">
        <v>473</v>
      </c>
      <c r="B474" t="s">
        <v>34</v>
      </c>
      <c r="C474">
        <v>315</v>
      </c>
      <c r="D474" t="s">
        <v>13</v>
      </c>
      <c r="E474">
        <v>50</v>
      </c>
      <c r="F474">
        <v>10</v>
      </c>
      <c r="G474">
        <v>638</v>
      </c>
      <c r="H474">
        <v>493</v>
      </c>
      <c r="I474">
        <v>197</v>
      </c>
      <c r="J474">
        <v>4</v>
      </c>
      <c r="K474" t="s">
        <v>14</v>
      </c>
      <c r="L474" t="s">
        <v>35</v>
      </c>
      <c r="M474">
        <v>3</v>
      </c>
      <c r="N474">
        <f t="shared" si="42"/>
        <v>1800</v>
      </c>
      <c r="O474">
        <f t="shared" si="43"/>
        <v>1764</v>
      </c>
      <c r="P474" s="1">
        <f t="shared" si="44"/>
        <v>8.9543147208121834</v>
      </c>
      <c r="Q474" s="1">
        <f t="shared" si="45"/>
        <v>3.2491922019752435</v>
      </c>
      <c r="R474" s="1">
        <f t="shared" si="46"/>
        <v>639.6034849588267</v>
      </c>
      <c r="S474" s="1">
        <f t="shared" si="47"/>
        <v>1.6034849588266979</v>
      </c>
    </row>
    <row r="475" spans="1:19" x14ac:dyDescent="0.35">
      <c r="A475">
        <v>474</v>
      </c>
      <c r="B475" t="s">
        <v>34</v>
      </c>
      <c r="C475">
        <v>315</v>
      </c>
      <c r="D475" t="s">
        <v>13</v>
      </c>
      <c r="E475">
        <v>50</v>
      </c>
      <c r="F475">
        <v>10</v>
      </c>
      <c r="G475">
        <v>567</v>
      </c>
      <c r="H475">
        <v>555</v>
      </c>
      <c r="I475">
        <v>175</v>
      </c>
      <c r="J475">
        <v>4</v>
      </c>
      <c r="K475" t="s">
        <v>14</v>
      </c>
      <c r="L475" t="s">
        <v>35</v>
      </c>
      <c r="M475">
        <v>3</v>
      </c>
      <c r="N475">
        <f t="shared" si="42"/>
        <v>1800</v>
      </c>
      <c r="O475">
        <f t="shared" si="43"/>
        <v>1764</v>
      </c>
      <c r="P475" s="1">
        <f t="shared" si="44"/>
        <v>10.08</v>
      </c>
      <c r="Q475" s="1">
        <f t="shared" si="45"/>
        <v>2.8863382504856219</v>
      </c>
      <c r="R475" s="1">
        <f t="shared" si="46"/>
        <v>568.17568460809468</v>
      </c>
      <c r="S475" s="1">
        <f t="shared" si="47"/>
        <v>1.1756846080946843</v>
      </c>
    </row>
    <row r="476" spans="1:19" x14ac:dyDescent="0.35">
      <c r="A476">
        <v>475</v>
      </c>
      <c r="B476" t="s">
        <v>34</v>
      </c>
      <c r="C476">
        <v>315</v>
      </c>
      <c r="D476" t="s">
        <v>13</v>
      </c>
      <c r="E476">
        <v>50</v>
      </c>
      <c r="F476">
        <v>10</v>
      </c>
      <c r="G476">
        <v>520</v>
      </c>
      <c r="H476">
        <v>606</v>
      </c>
      <c r="I476">
        <v>160</v>
      </c>
      <c r="J476">
        <v>4</v>
      </c>
      <c r="K476" t="s">
        <v>14</v>
      </c>
      <c r="L476" t="s">
        <v>35</v>
      </c>
      <c r="M476">
        <v>3</v>
      </c>
      <c r="N476">
        <f t="shared" si="42"/>
        <v>1800</v>
      </c>
      <c r="O476">
        <f t="shared" si="43"/>
        <v>1764</v>
      </c>
      <c r="P476" s="1">
        <f t="shared" si="44"/>
        <v>11.025</v>
      </c>
      <c r="Q476" s="1">
        <f t="shared" si="45"/>
        <v>2.638937829015426</v>
      </c>
      <c r="R476" s="1">
        <f t="shared" si="46"/>
        <v>519.47491164168662</v>
      </c>
      <c r="S476" s="1">
        <f t="shared" si="47"/>
        <v>-0.52508835831338274</v>
      </c>
    </row>
    <row r="477" spans="1:19" x14ac:dyDescent="0.35">
      <c r="A477">
        <v>476</v>
      </c>
      <c r="B477" t="s">
        <v>34</v>
      </c>
      <c r="C477">
        <v>315</v>
      </c>
      <c r="D477" t="s">
        <v>13</v>
      </c>
      <c r="E477">
        <v>50</v>
      </c>
      <c r="F477">
        <v>10</v>
      </c>
      <c r="G477">
        <v>449</v>
      </c>
      <c r="H477">
        <v>701</v>
      </c>
      <c r="I477">
        <v>138</v>
      </c>
      <c r="J477">
        <v>4</v>
      </c>
      <c r="K477" t="s">
        <v>14</v>
      </c>
      <c r="L477" t="s">
        <v>35</v>
      </c>
      <c r="M477">
        <v>3</v>
      </c>
      <c r="N477">
        <f t="shared" si="42"/>
        <v>1800</v>
      </c>
      <c r="O477">
        <f t="shared" si="43"/>
        <v>1764</v>
      </c>
      <c r="P477" s="1">
        <f t="shared" si="44"/>
        <v>12.782608695652174</v>
      </c>
      <c r="Q477" s="1">
        <f t="shared" si="45"/>
        <v>2.2760838775258052</v>
      </c>
      <c r="R477" s="1">
        <f t="shared" si="46"/>
        <v>448.04711129095472</v>
      </c>
      <c r="S477" s="1">
        <f t="shared" si="47"/>
        <v>-0.95288870904528267</v>
      </c>
    </row>
    <row r="478" spans="1:19" x14ac:dyDescent="0.35">
      <c r="A478">
        <v>477</v>
      </c>
      <c r="B478" t="s">
        <v>34</v>
      </c>
      <c r="C478">
        <v>315</v>
      </c>
      <c r="D478" t="s">
        <v>13</v>
      </c>
      <c r="E478">
        <v>50</v>
      </c>
      <c r="F478">
        <v>10</v>
      </c>
      <c r="G478">
        <v>402</v>
      </c>
      <c r="H478">
        <v>784</v>
      </c>
      <c r="I478">
        <v>124</v>
      </c>
      <c r="J478">
        <v>4</v>
      </c>
      <c r="K478" t="s">
        <v>14</v>
      </c>
      <c r="L478" t="s">
        <v>35</v>
      </c>
      <c r="M478">
        <v>3</v>
      </c>
      <c r="N478">
        <f t="shared" si="42"/>
        <v>1800</v>
      </c>
      <c r="O478">
        <f t="shared" si="43"/>
        <v>1764</v>
      </c>
      <c r="P478" s="1">
        <f t="shared" si="44"/>
        <v>14.225806451612904</v>
      </c>
      <c r="Q478" s="1">
        <f t="shared" si="45"/>
        <v>2.0451768174869551</v>
      </c>
      <c r="R478" s="1">
        <f t="shared" si="46"/>
        <v>402.59305652230711</v>
      </c>
      <c r="S478" s="1">
        <f t="shared" si="47"/>
        <v>0.59305652230710848</v>
      </c>
    </row>
    <row r="479" spans="1:19" x14ac:dyDescent="0.35">
      <c r="A479">
        <v>478</v>
      </c>
      <c r="B479" t="s">
        <v>34</v>
      </c>
      <c r="C479">
        <v>315</v>
      </c>
      <c r="D479" t="s">
        <v>13</v>
      </c>
      <c r="E479">
        <v>50</v>
      </c>
      <c r="F479">
        <v>10</v>
      </c>
      <c r="G479">
        <v>354</v>
      </c>
      <c r="H479">
        <v>888</v>
      </c>
      <c r="I479">
        <v>109</v>
      </c>
      <c r="J479">
        <v>4</v>
      </c>
      <c r="K479" t="s">
        <v>14</v>
      </c>
      <c r="L479" t="s">
        <v>35</v>
      </c>
      <c r="M479">
        <v>3</v>
      </c>
      <c r="N479">
        <f t="shared" si="42"/>
        <v>1800</v>
      </c>
      <c r="O479">
        <f t="shared" si="43"/>
        <v>1764</v>
      </c>
      <c r="P479" s="1">
        <f t="shared" si="44"/>
        <v>16.183486238532112</v>
      </c>
      <c r="Q479" s="1">
        <f t="shared" si="45"/>
        <v>1.797776396016759</v>
      </c>
      <c r="R479" s="1">
        <f t="shared" si="46"/>
        <v>353.89228355589898</v>
      </c>
      <c r="S479" s="1">
        <f t="shared" si="47"/>
        <v>-0.10771644410101544</v>
      </c>
    </row>
    <row r="480" spans="1:19" x14ac:dyDescent="0.35">
      <c r="A480">
        <v>479</v>
      </c>
      <c r="B480" t="s">
        <v>34</v>
      </c>
      <c r="C480">
        <v>315</v>
      </c>
      <c r="D480" t="s">
        <v>13</v>
      </c>
      <c r="E480">
        <v>50</v>
      </c>
      <c r="F480">
        <v>10</v>
      </c>
      <c r="G480">
        <v>331</v>
      </c>
      <c r="H480">
        <v>952</v>
      </c>
      <c r="I480">
        <v>102</v>
      </c>
      <c r="J480">
        <v>4</v>
      </c>
      <c r="K480" t="s">
        <v>14</v>
      </c>
      <c r="L480" t="s">
        <v>35</v>
      </c>
      <c r="M480">
        <v>3</v>
      </c>
      <c r="N480">
        <f t="shared" si="42"/>
        <v>1800</v>
      </c>
      <c r="O480">
        <f t="shared" si="43"/>
        <v>1764</v>
      </c>
      <c r="P480" s="1">
        <f t="shared" si="44"/>
        <v>17.294117647058822</v>
      </c>
      <c r="Q480" s="1">
        <f t="shared" si="45"/>
        <v>1.6823228659973342</v>
      </c>
      <c r="R480" s="1">
        <f t="shared" si="46"/>
        <v>331.16525617157521</v>
      </c>
      <c r="S480" s="1">
        <f t="shared" si="47"/>
        <v>0.16525617157520855</v>
      </c>
    </row>
    <row r="481" spans="1:19" x14ac:dyDescent="0.35">
      <c r="A481">
        <v>480</v>
      </c>
      <c r="B481" t="s">
        <v>34</v>
      </c>
      <c r="C481">
        <v>315</v>
      </c>
      <c r="D481" t="s">
        <v>13</v>
      </c>
      <c r="E481">
        <v>50</v>
      </c>
      <c r="F481">
        <v>10</v>
      </c>
      <c r="G481">
        <v>295</v>
      </c>
      <c r="H481">
        <v>1066</v>
      </c>
      <c r="I481">
        <v>91</v>
      </c>
      <c r="J481">
        <v>4</v>
      </c>
      <c r="K481" t="s">
        <v>14</v>
      </c>
      <c r="L481" t="s">
        <v>35</v>
      </c>
      <c r="M481">
        <v>3</v>
      </c>
      <c r="N481">
        <f t="shared" si="42"/>
        <v>1800</v>
      </c>
      <c r="O481">
        <f t="shared" si="43"/>
        <v>1764</v>
      </c>
      <c r="P481" s="1">
        <f t="shared" si="44"/>
        <v>19.384615384615383</v>
      </c>
      <c r="Q481" s="1">
        <f t="shared" si="45"/>
        <v>1.5008958902525238</v>
      </c>
      <c r="R481" s="1">
        <f t="shared" si="46"/>
        <v>295.45135599620932</v>
      </c>
      <c r="S481" s="1">
        <f t="shared" si="47"/>
        <v>0.45135599620931544</v>
      </c>
    </row>
    <row r="482" spans="1:19" x14ac:dyDescent="0.35">
      <c r="A482">
        <v>481</v>
      </c>
      <c r="B482" t="s">
        <v>34</v>
      </c>
      <c r="C482">
        <v>315</v>
      </c>
      <c r="D482" t="s">
        <v>13</v>
      </c>
      <c r="E482">
        <v>50</v>
      </c>
      <c r="F482">
        <v>10</v>
      </c>
      <c r="G482">
        <v>283</v>
      </c>
      <c r="H482">
        <v>1110</v>
      </c>
      <c r="I482">
        <v>87</v>
      </c>
      <c r="J482">
        <v>4</v>
      </c>
      <c r="K482" t="s">
        <v>14</v>
      </c>
      <c r="L482" t="s">
        <v>35</v>
      </c>
      <c r="M482">
        <v>3</v>
      </c>
      <c r="N482">
        <f t="shared" si="42"/>
        <v>1800</v>
      </c>
      <c r="O482">
        <f t="shared" si="43"/>
        <v>1764</v>
      </c>
      <c r="P482" s="1">
        <f t="shared" si="44"/>
        <v>20.275862068965516</v>
      </c>
      <c r="Q482" s="1">
        <f t="shared" si="45"/>
        <v>1.434922444527138</v>
      </c>
      <c r="R482" s="1">
        <f t="shared" si="46"/>
        <v>282.46448320516708</v>
      </c>
      <c r="S482" s="1">
        <f t="shared" si="47"/>
        <v>-0.53551679483291537</v>
      </c>
    </row>
    <row r="483" spans="1:19" x14ac:dyDescent="0.35">
      <c r="A483">
        <v>482</v>
      </c>
      <c r="B483" t="s">
        <v>34</v>
      </c>
      <c r="C483">
        <v>315</v>
      </c>
      <c r="D483" t="s">
        <v>13</v>
      </c>
      <c r="E483">
        <v>50</v>
      </c>
      <c r="F483">
        <v>10</v>
      </c>
      <c r="G483">
        <v>260</v>
      </c>
      <c r="H483">
        <v>1211</v>
      </c>
      <c r="I483">
        <v>80</v>
      </c>
      <c r="J483">
        <v>4</v>
      </c>
      <c r="K483" t="s">
        <v>14</v>
      </c>
      <c r="L483" t="s">
        <v>35</v>
      </c>
      <c r="M483">
        <v>3</v>
      </c>
      <c r="N483">
        <f t="shared" si="42"/>
        <v>1800</v>
      </c>
      <c r="O483">
        <f t="shared" si="43"/>
        <v>1764</v>
      </c>
      <c r="P483" s="1">
        <f t="shared" si="44"/>
        <v>22.05</v>
      </c>
      <c r="Q483" s="1">
        <f t="shared" si="45"/>
        <v>1.319468914507713</v>
      </c>
      <c r="R483" s="1">
        <f t="shared" si="46"/>
        <v>259.73745582084331</v>
      </c>
      <c r="S483" s="1">
        <f t="shared" si="47"/>
        <v>-0.26254417915669137</v>
      </c>
    </row>
    <row r="484" spans="1:19" x14ac:dyDescent="0.35">
      <c r="A484">
        <v>483</v>
      </c>
      <c r="B484" t="s">
        <v>34</v>
      </c>
      <c r="C484">
        <v>315</v>
      </c>
      <c r="D484" t="s">
        <v>13</v>
      </c>
      <c r="E484">
        <v>50</v>
      </c>
      <c r="F484">
        <v>7.5</v>
      </c>
      <c r="G484">
        <v>638</v>
      </c>
      <c r="H484">
        <v>362</v>
      </c>
      <c r="I484">
        <v>197</v>
      </c>
      <c r="J484">
        <v>4</v>
      </c>
      <c r="K484" t="s">
        <v>14</v>
      </c>
      <c r="L484" t="s">
        <v>35</v>
      </c>
      <c r="M484">
        <v>3</v>
      </c>
      <c r="N484">
        <f t="shared" si="42"/>
        <v>1800</v>
      </c>
      <c r="O484">
        <f t="shared" si="43"/>
        <v>1764</v>
      </c>
      <c r="P484" s="1">
        <f t="shared" si="44"/>
        <v>8.9543147208121834</v>
      </c>
      <c r="Q484" s="1">
        <f t="shared" si="45"/>
        <v>3.2491922019752435</v>
      </c>
      <c r="R484" s="1">
        <f t="shared" si="46"/>
        <v>639.6034849588267</v>
      </c>
      <c r="S484" s="1">
        <f t="shared" si="47"/>
        <v>1.6034849588266979</v>
      </c>
    </row>
    <row r="485" spans="1:19" x14ac:dyDescent="0.35">
      <c r="A485">
        <v>484</v>
      </c>
      <c r="B485" t="s">
        <v>34</v>
      </c>
      <c r="C485">
        <v>315</v>
      </c>
      <c r="D485" t="s">
        <v>13</v>
      </c>
      <c r="E485">
        <v>50</v>
      </c>
      <c r="F485">
        <v>7.5</v>
      </c>
      <c r="G485">
        <v>567</v>
      </c>
      <c r="H485">
        <v>407</v>
      </c>
      <c r="I485">
        <v>175</v>
      </c>
      <c r="J485">
        <v>4</v>
      </c>
      <c r="K485" t="s">
        <v>14</v>
      </c>
      <c r="L485" t="s">
        <v>35</v>
      </c>
      <c r="M485">
        <v>3</v>
      </c>
      <c r="N485">
        <f t="shared" si="42"/>
        <v>1800</v>
      </c>
      <c r="O485">
        <f t="shared" si="43"/>
        <v>1764</v>
      </c>
      <c r="P485" s="1">
        <f t="shared" si="44"/>
        <v>10.08</v>
      </c>
      <c r="Q485" s="1">
        <f t="shared" si="45"/>
        <v>2.8863382504856219</v>
      </c>
      <c r="R485" s="1">
        <f t="shared" si="46"/>
        <v>568.17568460809468</v>
      </c>
      <c r="S485" s="1">
        <f t="shared" si="47"/>
        <v>1.1756846080946843</v>
      </c>
    </row>
    <row r="486" spans="1:19" x14ac:dyDescent="0.35">
      <c r="A486">
        <v>485</v>
      </c>
      <c r="B486" t="s">
        <v>34</v>
      </c>
      <c r="C486">
        <v>315</v>
      </c>
      <c r="D486" t="s">
        <v>13</v>
      </c>
      <c r="E486">
        <v>50</v>
      </c>
      <c r="F486">
        <v>7.5</v>
      </c>
      <c r="G486">
        <v>520</v>
      </c>
      <c r="H486">
        <v>444</v>
      </c>
      <c r="I486">
        <v>160</v>
      </c>
      <c r="J486">
        <v>4</v>
      </c>
      <c r="K486" t="s">
        <v>14</v>
      </c>
      <c r="L486" t="s">
        <v>35</v>
      </c>
      <c r="M486">
        <v>3</v>
      </c>
      <c r="N486">
        <f t="shared" si="42"/>
        <v>1800</v>
      </c>
      <c r="O486">
        <f t="shared" si="43"/>
        <v>1764</v>
      </c>
      <c r="P486" s="1">
        <f t="shared" si="44"/>
        <v>11.025</v>
      </c>
      <c r="Q486" s="1">
        <f t="shared" si="45"/>
        <v>2.638937829015426</v>
      </c>
      <c r="R486" s="1">
        <f t="shared" si="46"/>
        <v>519.47491164168662</v>
      </c>
      <c r="S486" s="1">
        <f t="shared" si="47"/>
        <v>-0.52508835831338274</v>
      </c>
    </row>
    <row r="487" spans="1:19" x14ac:dyDescent="0.35">
      <c r="A487">
        <v>486</v>
      </c>
      <c r="B487" t="s">
        <v>34</v>
      </c>
      <c r="C487">
        <v>315</v>
      </c>
      <c r="D487" t="s">
        <v>13</v>
      </c>
      <c r="E487">
        <v>50</v>
      </c>
      <c r="F487">
        <v>7.5</v>
      </c>
      <c r="G487">
        <v>449</v>
      </c>
      <c r="H487">
        <v>514</v>
      </c>
      <c r="I487">
        <v>138</v>
      </c>
      <c r="J487">
        <v>4</v>
      </c>
      <c r="K487" t="s">
        <v>14</v>
      </c>
      <c r="L487" t="s">
        <v>35</v>
      </c>
      <c r="M487">
        <v>3</v>
      </c>
      <c r="N487">
        <f t="shared" si="42"/>
        <v>1800</v>
      </c>
      <c r="O487">
        <f t="shared" si="43"/>
        <v>1764</v>
      </c>
      <c r="P487" s="1">
        <f t="shared" si="44"/>
        <v>12.782608695652174</v>
      </c>
      <c r="Q487" s="1">
        <f t="shared" si="45"/>
        <v>2.2760838775258052</v>
      </c>
      <c r="R487" s="1">
        <f t="shared" si="46"/>
        <v>448.04711129095472</v>
      </c>
      <c r="S487" s="1">
        <f t="shared" si="47"/>
        <v>-0.95288870904528267</v>
      </c>
    </row>
    <row r="488" spans="1:19" x14ac:dyDescent="0.35">
      <c r="A488">
        <v>487</v>
      </c>
      <c r="B488" t="s">
        <v>34</v>
      </c>
      <c r="C488">
        <v>315</v>
      </c>
      <c r="D488" t="s">
        <v>13</v>
      </c>
      <c r="E488">
        <v>50</v>
      </c>
      <c r="F488">
        <v>7.5</v>
      </c>
      <c r="G488">
        <v>402</v>
      </c>
      <c r="H488">
        <v>575</v>
      </c>
      <c r="I488">
        <v>124</v>
      </c>
      <c r="J488">
        <v>4</v>
      </c>
      <c r="K488" t="s">
        <v>14</v>
      </c>
      <c r="L488" t="s">
        <v>35</v>
      </c>
      <c r="M488">
        <v>3</v>
      </c>
      <c r="N488">
        <f t="shared" si="42"/>
        <v>1800</v>
      </c>
      <c r="O488">
        <f t="shared" si="43"/>
        <v>1764</v>
      </c>
      <c r="P488" s="1">
        <f t="shared" si="44"/>
        <v>14.225806451612904</v>
      </c>
      <c r="Q488" s="1">
        <f t="shared" si="45"/>
        <v>2.0451768174869551</v>
      </c>
      <c r="R488" s="1">
        <f t="shared" si="46"/>
        <v>402.59305652230711</v>
      </c>
      <c r="S488" s="1">
        <f t="shared" si="47"/>
        <v>0.59305652230710848</v>
      </c>
    </row>
    <row r="489" spans="1:19" x14ac:dyDescent="0.35">
      <c r="A489">
        <v>488</v>
      </c>
      <c r="B489" t="s">
        <v>34</v>
      </c>
      <c r="C489">
        <v>315</v>
      </c>
      <c r="D489" t="s">
        <v>13</v>
      </c>
      <c r="E489">
        <v>50</v>
      </c>
      <c r="F489">
        <v>7.5</v>
      </c>
      <c r="G489">
        <v>354</v>
      </c>
      <c r="H489">
        <v>651</v>
      </c>
      <c r="I489">
        <v>109</v>
      </c>
      <c r="J489">
        <v>4</v>
      </c>
      <c r="K489" t="s">
        <v>14</v>
      </c>
      <c r="L489" t="s">
        <v>35</v>
      </c>
      <c r="M489">
        <v>3</v>
      </c>
      <c r="N489">
        <f t="shared" si="42"/>
        <v>1800</v>
      </c>
      <c r="O489">
        <f t="shared" si="43"/>
        <v>1764</v>
      </c>
      <c r="P489" s="1">
        <f t="shared" si="44"/>
        <v>16.183486238532112</v>
      </c>
      <c r="Q489" s="1">
        <f t="shared" si="45"/>
        <v>1.797776396016759</v>
      </c>
      <c r="R489" s="1">
        <f t="shared" si="46"/>
        <v>353.89228355589898</v>
      </c>
      <c r="S489" s="1">
        <f t="shared" si="47"/>
        <v>-0.10771644410101544</v>
      </c>
    </row>
    <row r="490" spans="1:19" x14ac:dyDescent="0.35">
      <c r="A490">
        <v>489</v>
      </c>
      <c r="B490" t="s">
        <v>34</v>
      </c>
      <c r="C490">
        <v>315</v>
      </c>
      <c r="D490" t="s">
        <v>13</v>
      </c>
      <c r="E490">
        <v>50</v>
      </c>
      <c r="F490">
        <v>7.5</v>
      </c>
      <c r="G490">
        <v>331</v>
      </c>
      <c r="H490">
        <v>698</v>
      </c>
      <c r="I490">
        <v>102</v>
      </c>
      <c r="J490">
        <v>4</v>
      </c>
      <c r="K490" t="s">
        <v>14</v>
      </c>
      <c r="L490" t="s">
        <v>35</v>
      </c>
      <c r="M490">
        <v>3</v>
      </c>
      <c r="N490">
        <f t="shared" si="42"/>
        <v>1800</v>
      </c>
      <c r="O490">
        <f t="shared" si="43"/>
        <v>1764</v>
      </c>
      <c r="P490" s="1">
        <f t="shared" si="44"/>
        <v>17.294117647058822</v>
      </c>
      <c r="Q490" s="1">
        <f t="shared" si="45"/>
        <v>1.6823228659973342</v>
      </c>
      <c r="R490" s="1">
        <f t="shared" si="46"/>
        <v>331.16525617157521</v>
      </c>
      <c r="S490" s="1">
        <f t="shared" si="47"/>
        <v>0.16525617157520855</v>
      </c>
    </row>
    <row r="491" spans="1:19" x14ac:dyDescent="0.35">
      <c r="A491">
        <v>490</v>
      </c>
      <c r="B491" t="s">
        <v>34</v>
      </c>
      <c r="C491">
        <v>315</v>
      </c>
      <c r="D491" t="s">
        <v>13</v>
      </c>
      <c r="E491">
        <v>50</v>
      </c>
      <c r="F491">
        <v>7.5</v>
      </c>
      <c r="G491">
        <v>295</v>
      </c>
      <c r="H491">
        <v>782</v>
      </c>
      <c r="I491">
        <v>91</v>
      </c>
      <c r="J491">
        <v>4</v>
      </c>
      <c r="K491" t="s">
        <v>14</v>
      </c>
      <c r="L491" t="s">
        <v>35</v>
      </c>
      <c r="M491">
        <v>3</v>
      </c>
      <c r="N491">
        <f t="shared" si="42"/>
        <v>1800</v>
      </c>
      <c r="O491">
        <f t="shared" si="43"/>
        <v>1764</v>
      </c>
      <c r="P491" s="1">
        <f t="shared" si="44"/>
        <v>19.384615384615383</v>
      </c>
      <c r="Q491" s="1">
        <f t="shared" si="45"/>
        <v>1.5008958902525238</v>
      </c>
      <c r="R491" s="1">
        <f t="shared" si="46"/>
        <v>295.45135599620932</v>
      </c>
      <c r="S491" s="1">
        <f t="shared" si="47"/>
        <v>0.45135599620931544</v>
      </c>
    </row>
    <row r="492" spans="1:19" x14ac:dyDescent="0.35">
      <c r="A492">
        <v>491</v>
      </c>
      <c r="B492" t="s">
        <v>34</v>
      </c>
      <c r="C492">
        <v>315</v>
      </c>
      <c r="D492" t="s">
        <v>13</v>
      </c>
      <c r="E492">
        <v>50</v>
      </c>
      <c r="F492">
        <v>7.5</v>
      </c>
      <c r="G492">
        <v>268</v>
      </c>
      <c r="H492">
        <v>814</v>
      </c>
      <c r="I492">
        <v>83</v>
      </c>
      <c r="J492">
        <v>4</v>
      </c>
      <c r="K492" t="s">
        <v>14</v>
      </c>
      <c r="L492" t="s">
        <v>35</v>
      </c>
      <c r="M492">
        <v>3</v>
      </c>
      <c r="N492">
        <f t="shared" si="42"/>
        <v>1800</v>
      </c>
      <c r="O492">
        <f t="shared" si="43"/>
        <v>1764</v>
      </c>
      <c r="P492" s="1">
        <f t="shared" si="44"/>
        <v>21.253012048192772</v>
      </c>
      <c r="Q492" s="1">
        <f t="shared" si="45"/>
        <v>1.3689489988017525</v>
      </c>
      <c r="R492" s="1">
        <f t="shared" si="46"/>
        <v>269.47761041412497</v>
      </c>
      <c r="S492" s="1">
        <f t="shared" si="47"/>
        <v>1.4776104141249675</v>
      </c>
    </row>
    <row r="493" spans="1:19" x14ac:dyDescent="0.35">
      <c r="A493">
        <v>492</v>
      </c>
      <c r="B493" t="s">
        <v>34</v>
      </c>
      <c r="C493">
        <v>315</v>
      </c>
      <c r="D493" t="s">
        <v>13</v>
      </c>
      <c r="E493">
        <v>50</v>
      </c>
      <c r="F493">
        <v>7.5</v>
      </c>
      <c r="G493">
        <v>260</v>
      </c>
      <c r="H493">
        <v>888</v>
      </c>
      <c r="I493">
        <v>80</v>
      </c>
      <c r="J493">
        <v>4</v>
      </c>
      <c r="K493" t="s">
        <v>14</v>
      </c>
      <c r="L493" t="s">
        <v>35</v>
      </c>
      <c r="M493">
        <v>3</v>
      </c>
      <c r="N493">
        <f t="shared" si="42"/>
        <v>1800</v>
      </c>
      <c r="O493">
        <f t="shared" si="43"/>
        <v>1764</v>
      </c>
      <c r="P493" s="1">
        <f t="shared" si="44"/>
        <v>22.05</v>
      </c>
      <c r="Q493" s="1">
        <f t="shared" si="45"/>
        <v>1.319468914507713</v>
      </c>
      <c r="R493" s="1">
        <f t="shared" si="46"/>
        <v>259.73745582084331</v>
      </c>
      <c r="S493" s="1">
        <f t="shared" si="47"/>
        <v>-0.26254417915669137</v>
      </c>
    </row>
    <row r="494" spans="1:19" x14ac:dyDescent="0.35">
      <c r="A494">
        <v>493</v>
      </c>
      <c r="B494" t="s">
        <v>34</v>
      </c>
      <c r="C494">
        <v>315</v>
      </c>
      <c r="D494" t="s">
        <v>13</v>
      </c>
      <c r="E494">
        <v>50</v>
      </c>
      <c r="F494">
        <v>7.5</v>
      </c>
      <c r="G494">
        <v>224</v>
      </c>
      <c r="H494">
        <v>1029</v>
      </c>
      <c r="I494">
        <v>69</v>
      </c>
      <c r="J494">
        <v>4</v>
      </c>
      <c r="K494" t="s">
        <v>14</v>
      </c>
      <c r="L494" t="s">
        <v>35</v>
      </c>
      <c r="M494">
        <v>3</v>
      </c>
      <c r="N494">
        <f t="shared" si="42"/>
        <v>1800</v>
      </c>
      <c r="O494">
        <f t="shared" si="43"/>
        <v>1764</v>
      </c>
      <c r="P494" s="1">
        <f t="shared" si="44"/>
        <v>25.565217391304348</v>
      </c>
      <c r="Q494" s="1">
        <f t="shared" si="45"/>
        <v>1.1380419387629026</v>
      </c>
      <c r="R494" s="1">
        <f t="shared" si="46"/>
        <v>224.02355564547736</v>
      </c>
      <c r="S494" s="1">
        <f t="shared" si="47"/>
        <v>2.3555645477358667E-2</v>
      </c>
    </row>
    <row r="495" spans="1:19" x14ac:dyDescent="0.35">
      <c r="A495">
        <v>494</v>
      </c>
      <c r="B495" t="s">
        <v>34</v>
      </c>
      <c r="C495">
        <v>315</v>
      </c>
      <c r="D495" t="s">
        <v>13</v>
      </c>
      <c r="E495">
        <v>50</v>
      </c>
      <c r="F495">
        <v>7.5</v>
      </c>
      <c r="G495">
        <v>189</v>
      </c>
      <c r="H495">
        <v>1185</v>
      </c>
      <c r="I495">
        <v>58</v>
      </c>
      <c r="J495">
        <v>4</v>
      </c>
      <c r="K495" t="s">
        <v>14</v>
      </c>
      <c r="L495" t="s">
        <v>35</v>
      </c>
      <c r="M495">
        <v>3</v>
      </c>
      <c r="N495">
        <f t="shared" si="42"/>
        <v>1800</v>
      </c>
      <c r="O495">
        <f t="shared" si="43"/>
        <v>1764</v>
      </c>
      <c r="P495" s="1">
        <f t="shared" si="44"/>
        <v>30.413793103448278</v>
      </c>
      <c r="Q495" s="1">
        <f t="shared" si="45"/>
        <v>0.95661496301809212</v>
      </c>
      <c r="R495" s="1">
        <f t="shared" si="46"/>
        <v>188.30965547011144</v>
      </c>
      <c r="S495" s="1">
        <f t="shared" si="47"/>
        <v>-0.69034452988856287</v>
      </c>
    </row>
    <row r="496" spans="1:19" x14ac:dyDescent="0.35">
      <c r="A496">
        <v>495</v>
      </c>
      <c r="B496" t="s">
        <v>34</v>
      </c>
      <c r="C496">
        <v>315</v>
      </c>
      <c r="D496" t="s">
        <v>13</v>
      </c>
      <c r="E496">
        <v>50</v>
      </c>
      <c r="F496">
        <v>5</v>
      </c>
      <c r="G496">
        <v>638</v>
      </c>
      <c r="H496">
        <v>245</v>
      </c>
      <c r="I496">
        <v>197</v>
      </c>
      <c r="J496">
        <v>4</v>
      </c>
      <c r="K496" t="s">
        <v>14</v>
      </c>
      <c r="L496" t="s">
        <v>35</v>
      </c>
      <c r="M496">
        <v>3</v>
      </c>
      <c r="N496">
        <f t="shared" si="42"/>
        <v>1800</v>
      </c>
      <c r="O496">
        <f t="shared" si="43"/>
        <v>1764</v>
      </c>
      <c r="P496" s="1">
        <f t="shared" si="44"/>
        <v>8.9543147208121834</v>
      </c>
      <c r="Q496" s="1">
        <f t="shared" si="45"/>
        <v>3.2491922019752435</v>
      </c>
      <c r="R496" s="1">
        <f t="shared" si="46"/>
        <v>639.6034849588267</v>
      </c>
      <c r="S496" s="1">
        <f t="shared" si="47"/>
        <v>1.6034849588266979</v>
      </c>
    </row>
    <row r="497" spans="1:19" x14ac:dyDescent="0.35">
      <c r="A497">
        <v>496</v>
      </c>
      <c r="B497" t="s">
        <v>34</v>
      </c>
      <c r="C497">
        <v>315</v>
      </c>
      <c r="D497" t="s">
        <v>13</v>
      </c>
      <c r="E497">
        <v>50</v>
      </c>
      <c r="F497">
        <v>5</v>
      </c>
      <c r="G497">
        <v>567</v>
      </c>
      <c r="H497">
        <v>276</v>
      </c>
      <c r="I497">
        <v>175</v>
      </c>
      <c r="J497">
        <v>4</v>
      </c>
      <c r="K497" t="s">
        <v>14</v>
      </c>
      <c r="L497" t="s">
        <v>35</v>
      </c>
      <c r="M497">
        <v>3</v>
      </c>
      <c r="N497">
        <f t="shared" si="42"/>
        <v>1800</v>
      </c>
      <c r="O497">
        <f t="shared" si="43"/>
        <v>1764</v>
      </c>
      <c r="P497" s="1">
        <f t="shared" si="44"/>
        <v>10.08</v>
      </c>
      <c r="Q497" s="1">
        <f t="shared" si="45"/>
        <v>2.8863382504856219</v>
      </c>
      <c r="R497" s="1">
        <f t="shared" si="46"/>
        <v>568.17568460809468</v>
      </c>
      <c r="S497" s="1">
        <f t="shared" si="47"/>
        <v>1.1756846080946843</v>
      </c>
    </row>
    <row r="498" spans="1:19" x14ac:dyDescent="0.35">
      <c r="A498">
        <v>497</v>
      </c>
      <c r="B498" t="s">
        <v>34</v>
      </c>
      <c r="C498">
        <v>315</v>
      </c>
      <c r="D498" t="s">
        <v>13</v>
      </c>
      <c r="E498">
        <v>50</v>
      </c>
      <c r="F498">
        <v>5</v>
      </c>
      <c r="G498">
        <v>543</v>
      </c>
      <c r="H498">
        <v>288</v>
      </c>
      <c r="I498">
        <v>167</v>
      </c>
      <c r="J498">
        <v>4</v>
      </c>
      <c r="K498" t="s">
        <v>14</v>
      </c>
      <c r="L498" t="s">
        <v>35</v>
      </c>
      <c r="M498">
        <v>3</v>
      </c>
      <c r="N498">
        <f t="shared" si="42"/>
        <v>1800</v>
      </c>
      <c r="O498">
        <f t="shared" si="43"/>
        <v>1764</v>
      </c>
      <c r="P498" s="1">
        <f t="shared" si="44"/>
        <v>10.562874251497005</v>
      </c>
      <c r="Q498" s="1">
        <f t="shared" si="45"/>
        <v>2.7543913590348517</v>
      </c>
      <c r="R498" s="1">
        <f t="shared" si="46"/>
        <v>542.20193902601056</v>
      </c>
      <c r="S498" s="1">
        <f t="shared" si="47"/>
        <v>-0.79806097398943621</v>
      </c>
    </row>
    <row r="499" spans="1:19" x14ac:dyDescent="0.35">
      <c r="A499">
        <v>498</v>
      </c>
      <c r="B499" t="s">
        <v>34</v>
      </c>
      <c r="C499">
        <v>315</v>
      </c>
      <c r="D499" t="s">
        <v>13</v>
      </c>
      <c r="E499">
        <v>50</v>
      </c>
      <c r="F499">
        <v>5</v>
      </c>
      <c r="G499">
        <v>449</v>
      </c>
      <c r="H499">
        <v>349</v>
      </c>
      <c r="I499">
        <v>138</v>
      </c>
      <c r="J499">
        <v>4</v>
      </c>
      <c r="K499" t="s">
        <v>14</v>
      </c>
      <c r="L499" t="s">
        <v>35</v>
      </c>
      <c r="M499">
        <v>3</v>
      </c>
      <c r="N499">
        <f t="shared" si="42"/>
        <v>1800</v>
      </c>
      <c r="O499">
        <f t="shared" si="43"/>
        <v>1764</v>
      </c>
      <c r="P499" s="1">
        <f t="shared" si="44"/>
        <v>12.782608695652174</v>
      </c>
      <c r="Q499" s="1">
        <f t="shared" si="45"/>
        <v>2.2760838775258052</v>
      </c>
      <c r="R499" s="1">
        <f t="shared" si="46"/>
        <v>448.04711129095472</v>
      </c>
      <c r="S499" s="1">
        <f t="shared" si="47"/>
        <v>-0.95288870904528267</v>
      </c>
    </row>
    <row r="500" spans="1:19" x14ac:dyDescent="0.35">
      <c r="A500">
        <v>499</v>
      </c>
      <c r="B500" t="s">
        <v>34</v>
      </c>
      <c r="C500">
        <v>315</v>
      </c>
      <c r="D500" t="s">
        <v>13</v>
      </c>
      <c r="E500">
        <v>50</v>
      </c>
      <c r="F500">
        <v>5</v>
      </c>
      <c r="G500">
        <v>402</v>
      </c>
      <c r="H500">
        <v>390</v>
      </c>
      <c r="I500">
        <v>124</v>
      </c>
      <c r="J500">
        <v>4</v>
      </c>
      <c r="K500" t="s">
        <v>14</v>
      </c>
      <c r="L500" t="s">
        <v>35</v>
      </c>
      <c r="M500">
        <v>3</v>
      </c>
      <c r="N500">
        <f t="shared" si="42"/>
        <v>1800</v>
      </c>
      <c r="O500">
        <f t="shared" si="43"/>
        <v>1764</v>
      </c>
      <c r="P500" s="1">
        <f t="shared" si="44"/>
        <v>14.225806451612904</v>
      </c>
      <c r="Q500" s="1">
        <f t="shared" si="45"/>
        <v>2.0451768174869551</v>
      </c>
      <c r="R500" s="1">
        <f t="shared" si="46"/>
        <v>402.59305652230711</v>
      </c>
      <c r="S500" s="1">
        <f t="shared" si="47"/>
        <v>0.59305652230710848</v>
      </c>
    </row>
    <row r="501" spans="1:19" x14ac:dyDescent="0.35">
      <c r="A501">
        <v>500</v>
      </c>
      <c r="B501" t="s">
        <v>34</v>
      </c>
      <c r="C501">
        <v>315</v>
      </c>
      <c r="D501" t="s">
        <v>13</v>
      </c>
      <c r="E501">
        <v>50</v>
      </c>
      <c r="F501">
        <v>5</v>
      </c>
      <c r="G501">
        <v>354</v>
      </c>
      <c r="H501">
        <v>442</v>
      </c>
      <c r="I501">
        <v>109</v>
      </c>
      <c r="J501">
        <v>4</v>
      </c>
      <c r="K501" t="s">
        <v>14</v>
      </c>
      <c r="L501" t="s">
        <v>35</v>
      </c>
      <c r="M501">
        <v>3</v>
      </c>
      <c r="N501">
        <f t="shared" si="42"/>
        <v>1800</v>
      </c>
      <c r="O501">
        <f t="shared" si="43"/>
        <v>1764</v>
      </c>
      <c r="P501" s="1">
        <f t="shared" si="44"/>
        <v>16.183486238532112</v>
      </c>
      <c r="Q501" s="1">
        <f t="shared" si="45"/>
        <v>1.797776396016759</v>
      </c>
      <c r="R501" s="1">
        <f t="shared" si="46"/>
        <v>353.89228355589898</v>
      </c>
      <c r="S501" s="1">
        <f t="shared" si="47"/>
        <v>-0.10771644410101544</v>
      </c>
    </row>
    <row r="502" spans="1:19" x14ac:dyDescent="0.35">
      <c r="A502">
        <v>501</v>
      </c>
      <c r="B502" t="s">
        <v>34</v>
      </c>
      <c r="C502">
        <v>315</v>
      </c>
      <c r="D502" t="s">
        <v>13</v>
      </c>
      <c r="E502">
        <v>50</v>
      </c>
      <c r="F502">
        <v>5</v>
      </c>
      <c r="G502">
        <v>331</v>
      </c>
      <c r="H502">
        <v>473</v>
      </c>
      <c r="I502">
        <v>102</v>
      </c>
      <c r="J502">
        <v>4</v>
      </c>
      <c r="K502" t="s">
        <v>14</v>
      </c>
      <c r="L502" t="s">
        <v>35</v>
      </c>
      <c r="M502">
        <v>3</v>
      </c>
      <c r="N502">
        <f t="shared" si="42"/>
        <v>1800</v>
      </c>
      <c r="O502">
        <f t="shared" si="43"/>
        <v>1764</v>
      </c>
      <c r="P502" s="1">
        <f t="shared" si="44"/>
        <v>17.294117647058822</v>
      </c>
      <c r="Q502" s="1">
        <f t="shared" si="45"/>
        <v>1.6823228659973342</v>
      </c>
      <c r="R502" s="1">
        <f t="shared" si="46"/>
        <v>331.16525617157521</v>
      </c>
      <c r="S502" s="1">
        <f t="shared" si="47"/>
        <v>0.16525617157520855</v>
      </c>
    </row>
    <row r="503" spans="1:19" x14ac:dyDescent="0.35">
      <c r="A503">
        <v>502</v>
      </c>
      <c r="B503" t="s">
        <v>34</v>
      </c>
      <c r="C503">
        <v>315</v>
      </c>
      <c r="D503" t="s">
        <v>13</v>
      </c>
      <c r="E503">
        <v>50</v>
      </c>
      <c r="F503">
        <v>5</v>
      </c>
      <c r="G503">
        <v>283</v>
      </c>
      <c r="H503">
        <v>552</v>
      </c>
      <c r="I503">
        <v>87</v>
      </c>
      <c r="J503">
        <v>4</v>
      </c>
      <c r="K503" t="s">
        <v>14</v>
      </c>
      <c r="L503" t="s">
        <v>35</v>
      </c>
      <c r="M503">
        <v>3</v>
      </c>
      <c r="N503">
        <f t="shared" si="42"/>
        <v>1800</v>
      </c>
      <c r="O503">
        <f t="shared" si="43"/>
        <v>1764</v>
      </c>
      <c r="P503" s="1">
        <f t="shared" si="44"/>
        <v>20.275862068965516</v>
      </c>
      <c r="Q503" s="1">
        <f t="shared" si="45"/>
        <v>1.434922444527138</v>
      </c>
      <c r="R503" s="1">
        <f t="shared" si="46"/>
        <v>282.46448320516708</v>
      </c>
      <c r="S503" s="1">
        <f t="shared" si="47"/>
        <v>-0.53551679483291537</v>
      </c>
    </row>
    <row r="504" spans="1:19" x14ac:dyDescent="0.35">
      <c r="A504">
        <v>503</v>
      </c>
      <c r="B504" t="s">
        <v>34</v>
      </c>
      <c r="C504">
        <v>315</v>
      </c>
      <c r="D504" t="s">
        <v>13</v>
      </c>
      <c r="E504">
        <v>50</v>
      </c>
      <c r="F504">
        <v>5</v>
      </c>
      <c r="G504">
        <v>268</v>
      </c>
      <c r="H504">
        <v>602</v>
      </c>
      <c r="I504">
        <v>83</v>
      </c>
      <c r="J504">
        <v>4</v>
      </c>
      <c r="K504" t="s">
        <v>14</v>
      </c>
      <c r="L504" t="s">
        <v>35</v>
      </c>
      <c r="M504">
        <v>3</v>
      </c>
      <c r="N504">
        <f t="shared" si="42"/>
        <v>1800</v>
      </c>
      <c r="O504">
        <f t="shared" si="43"/>
        <v>1764</v>
      </c>
      <c r="P504" s="1">
        <f t="shared" si="44"/>
        <v>21.253012048192772</v>
      </c>
      <c r="Q504" s="1">
        <f t="shared" si="45"/>
        <v>1.3689489988017525</v>
      </c>
      <c r="R504" s="1">
        <f t="shared" si="46"/>
        <v>269.47761041412497</v>
      </c>
      <c r="S504" s="1">
        <f t="shared" si="47"/>
        <v>1.4776104141249675</v>
      </c>
    </row>
    <row r="505" spans="1:19" x14ac:dyDescent="0.35">
      <c r="A505">
        <v>504</v>
      </c>
      <c r="B505" t="s">
        <v>34</v>
      </c>
      <c r="C505">
        <v>315</v>
      </c>
      <c r="D505" t="s">
        <v>13</v>
      </c>
      <c r="E505">
        <v>50</v>
      </c>
      <c r="F505">
        <v>5</v>
      </c>
      <c r="G505">
        <v>213</v>
      </c>
      <c r="H505">
        <v>736</v>
      </c>
      <c r="I505">
        <v>66</v>
      </c>
      <c r="J505">
        <v>4</v>
      </c>
      <c r="K505" t="s">
        <v>14</v>
      </c>
      <c r="L505" t="s">
        <v>35</v>
      </c>
      <c r="M505">
        <v>3</v>
      </c>
      <c r="N505">
        <f t="shared" si="42"/>
        <v>1800</v>
      </c>
      <c r="O505">
        <f t="shared" si="43"/>
        <v>1764</v>
      </c>
      <c r="P505" s="1">
        <f t="shared" si="44"/>
        <v>26.727272727272727</v>
      </c>
      <c r="Q505" s="1">
        <f t="shared" si="45"/>
        <v>1.0885618544688633</v>
      </c>
      <c r="R505" s="1">
        <f t="shared" si="46"/>
        <v>214.28340105219573</v>
      </c>
      <c r="S505" s="1">
        <f t="shared" si="47"/>
        <v>1.2834010521957282</v>
      </c>
    </row>
    <row r="506" spans="1:19" x14ac:dyDescent="0.35">
      <c r="A506">
        <v>505</v>
      </c>
      <c r="B506" t="s">
        <v>34</v>
      </c>
      <c r="C506">
        <v>315</v>
      </c>
      <c r="D506" t="s">
        <v>13</v>
      </c>
      <c r="E506">
        <v>50</v>
      </c>
      <c r="F506">
        <v>5</v>
      </c>
      <c r="G506">
        <v>189</v>
      </c>
      <c r="H506">
        <v>790</v>
      </c>
      <c r="I506">
        <v>58</v>
      </c>
      <c r="J506">
        <v>4</v>
      </c>
      <c r="K506" t="s">
        <v>14</v>
      </c>
      <c r="L506" t="s">
        <v>35</v>
      </c>
      <c r="M506">
        <v>3</v>
      </c>
      <c r="N506">
        <f t="shared" si="42"/>
        <v>1800</v>
      </c>
      <c r="O506">
        <f t="shared" si="43"/>
        <v>1764</v>
      </c>
      <c r="P506" s="1">
        <f t="shared" si="44"/>
        <v>30.413793103448278</v>
      </c>
      <c r="Q506" s="1">
        <f t="shared" si="45"/>
        <v>0.95661496301809212</v>
      </c>
      <c r="R506" s="1">
        <f t="shared" si="46"/>
        <v>188.30965547011144</v>
      </c>
      <c r="S506" s="1">
        <f t="shared" si="47"/>
        <v>-0.69034452988856287</v>
      </c>
    </row>
    <row r="507" spans="1:19" x14ac:dyDescent="0.35">
      <c r="A507">
        <v>506</v>
      </c>
      <c r="B507" t="s">
        <v>34</v>
      </c>
      <c r="C507">
        <v>315</v>
      </c>
      <c r="D507" t="s">
        <v>13</v>
      </c>
      <c r="E507">
        <v>50</v>
      </c>
      <c r="F507">
        <v>5</v>
      </c>
      <c r="G507">
        <v>165</v>
      </c>
      <c r="H507">
        <v>947</v>
      </c>
      <c r="I507">
        <v>51</v>
      </c>
      <c r="J507">
        <v>4</v>
      </c>
      <c r="K507" t="s">
        <v>14</v>
      </c>
      <c r="L507" t="s">
        <v>35</v>
      </c>
      <c r="M507">
        <v>3</v>
      </c>
      <c r="N507">
        <f t="shared" si="42"/>
        <v>1800</v>
      </c>
      <c r="O507">
        <f t="shared" si="43"/>
        <v>1764</v>
      </c>
      <c r="P507" s="1">
        <f t="shared" si="44"/>
        <v>34.588235294117645</v>
      </c>
      <c r="Q507" s="1">
        <f t="shared" si="45"/>
        <v>0.84116143299866708</v>
      </c>
      <c r="R507" s="1">
        <f t="shared" si="46"/>
        <v>165.5826280857876</v>
      </c>
      <c r="S507" s="1">
        <f t="shared" si="47"/>
        <v>0.58262808578760428</v>
      </c>
    </row>
    <row r="508" spans="1:19" x14ac:dyDescent="0.35">
      <c r="A508">
        <v>507</v>
      </c>
      <c r="B508" t="s">
        <v>34</v>
      </c>
      <c r="C508">
        <v>315</v>
      </c>
      <c r="D508" t="s">
        <v>13</v>
      </c>
      <c r="E508">
        <v>50</v>
      </c>
      <c r="F508">
        <v>5</v>
      </c>
      <c r="G508">
        <v>154</v>
      </c>
      <c r="H508">
        <v>1019</v>
      </c>
      <c r="I508">
        <v>47</v>
      </c>
      <c r="J508">
        <v>4</v>
      </c>
      <c r="K508" t="s">
        <v>14</v>
      </c>
      <c r="L508" t="s">
        <v>35</v>
      </c>
      <c r="M508">
        <v>3</v>
      </c>
      <c r="N508">
        <f t="shared" si="42"/>
        <v>1800</v>
      </c>
      <c r="O508">
        <f t="shared" si="43"/>
        <v>1764</v>
      </c>
      <c r="P508" s="1">
        <f t="shared" si="44"/>
        <v>37.531914893617021</v>
      </c>
      <c r="Q508" s="1">
        <f t="shared" si="45"/>
        <v>0.77518798727328153</v>
      </c>
      <c r="R508" s="1">
        <f t="shared" si="46"/>
        <v>152.59575529474546</v>
      </c>
      <c r="S508" s="1">
        <f t="shared" si="47"/>
        <v>-1.4042447052545413</v>
      </c>
    </row>
    <row r="509" spans="1:19" x14ac:dyDescent="0.35">
      <c r="A509">
        <v>508</v>
      </c>
      <c r="B509" t="s">
        <v>34</v>
      </c>
      <c r="C509">
        <v>315</v>
      </c>
      <c r="D509" t="s">
        <v>13</v>
      </c>
      <c r="E509">
        <v>50</v>
      </c>
      <c r="F509">
        <v>5</v>
      </c>
      <c r="G509">
        <v>142</v>
      </c>
      <c r="H509">
        <v>1104</v>
      </c>
      <c r="I509">
        <v>44</v>
      </c>
      <c r="J509">
        <v>4</v>
      </c>
      <c r="K509" t="s">
        <v>14</v>
      </c>
      <c r="L509" t="s">
        <v>35</v>
      </c>
      <c r="M509">
        <v>3</v>
      </c>
      <c r="N509">
        <f t="shared" si="42"/>
        <v>1800</v>
      </c>
      <c r="O509">
        <f t="shared" si="43"/>
        <v>1764</v>
      </c>
      <c r="P509" s="1">
        <f t="shared" si="44"/>
        <v>40.090909090909093</v>
      </c>
      <c r="Q509" s="1">
        <f t="shared" si="45"/>
        <v>0.72570790297924215</v>
      </c>
      <c r="R509" s="1">
        <f t="shared" si="46"/>
        <v>142.8556007014638</v>
      </c>
      <c r="S509" s="1">
        <f t="shared" si="47"/>
        <v>0.85560070146379985</v>
      </c>
    </row>
    <row r="510" spans="1:19" x14ac:dyDescent="0.35">
      <c r="A510">
        <v>509</v>
      </c>
      <c r="B510" t="s">
        <v>34</v>
      </c>
      <c r="C510">
        <v>315</v>
      </c>
      <c r="D510" t="s">
        <v>13</v>
      </c>
      <c r="E510">
        <v>50</v>
      </c>
      <c r="F510">
        <v>5</v>
      </c>
      <c r="G510">
        <v>130</v>
      </c>
      <c r="H510">
        <v>1205</v>
      </c>
      <c r="I510">
        <v>40</v>
      </c>
      <c r="J510">
        <v>4</v>
      </c>
      <c r="K510" t="s">
        <v>14</v>
      </c>
      <c r="L510" t="s">
        <v>35</v>
      </c>
      <c r="M510">
        <v>3</v>
      </c>
      <c r="N510">
        <f t="shared" si="42"/>
        <v>1800</v>
      </c>
      <c r="O510">
        <f t="shared" si="43"/>
        <v>1764</v>
      </c>
      <c r="P510" s="1">
        <f t="shared" si="44"/>
        <v>44.1</v>
      </c>
      <c r="Q510" s="1">
        <f t="shared" si="45"/>
        <v>0.65973445725385649</v>
      </c>
      <c r="R510" s="1">
        <f t="shared" si="46"/>
        <v>129.86872791042165</v>
      </c>
      <c r="S510" s="1">
        <f t="shared" si="47"/>
        <v>-0.13127208957834569</v>
      </c>
    </row>
    <row r="511" spans="1:19" x14ac:dyDescent="0.35">
      <c r="A511">
        <v>510</v>
      </c>
      <c r="B511" t="s">
        <v>36</v>
      </c>
      <c r="C511">
        <v>315</v>
      </c>
      <c r="D511" t="s">
        <v>13</v>
      </c>
      <c r="E511">
        <v>60</v>
      </c>
      <c r="F511">
        <v>15</v>
      </c>
      <c r="G511">
        <v>402</v>
      </c>
      <c r="H511">
        <v>1095</v>
      </c>
      <c r="I511">
        <v>124</v>
      </c>
      <c r="J511">
        <v>2</v>
      </c>
      <c r="K511" t="s">
        <v>22</v>
      </c>
      <c r="L511" t="s">
        <v>37</v>
      </c>
      <c r="M511">
        <v>3</v>
      </c>
      <c r="N511">
        <f t="shared" si="42"/>
        <v>3600</v>
      </c>
      <c r="O511">
        <f t="shared" si="43"/>
        <v>3528</v>
      </c>
      <c r="P511" s="1">
        <f t="shared" si="44"/>
        <v>28.451612903225808</v>
      </c>
      <c r="Q511" s="1">
        <f t="shared" si="45"/>
        <v>2.0451768174869551</v>
      </c>
      <c r="R511" s="1">
        <f t="shared" si="46"/>
        <v>402.59305652230711</v>
      </c>
      <c r="S511" s="1">
        <f t="shared" si="47"/>
        <v>0.59305652230710848</v>
      </c>
    </row>
    <row r="512" spans="1:19" x14ac:dyDescent="0.35">
      <c r="A512">
        <v>511</v>
      </c>
      <c r="B512" t="s">
        <v>36</v>
      </c>
      <c r="C512">
        <v>315</v>
      </c>
      <c r="D512" t="s">
        <v>13</v>
      </c>
      <c r="E512">
        <v>60</v>
      </c>
      <c r="F512">
        <v>15</v>
      </c>
      <c r="G512">
        <v>335</v>
      </c>
      <c r="H512">
        <v>1309</v>
      </c>
      <c r="I512">
        <v>103</v>
      </c>
      <c r="J512">
        <v>2</v>
      </c>
      <c r="K512" t="s">
        <v>22</v>
      </c>
      <c r="L512" t="s">
        <v>37</v>
      </c>
      <c r="M512">
        <v>3</v>
      </c>
      <c r="N512">
        <f t="shared" si="42"/>
        <v>3600</v>
      </c>
      <c r="O512">
        <f t="shared" si="43"/>
        <v>3528</v>
      </c>
      <c r="P512" s="1">
        <f t="shared" si="44"/>
        <v>34.252427184466022</v>
      </c>
      <c r="Q512" s="1">
        <f t="shared" si="45"/>
        <v>1.6988162274286804</v>
      </c>
      <c r="R512" s="1">
        <f t="shared" si="46"/>
        <v>334.41197436933572</v>
      </c>
      <c r="S512" s="1">
        <f t="shared" si="47"/>
        <v>-0.58802563066427638</v>
      </c>
    </row>
    <row r="513" spans="1:19" x14ac:dyDescent="0.35">
      <c r="A513">
        <v>512</v>
      </c>
      <c r="B513" t="s">
        <v>36</v>
      </c>
      <c r="C513">
        <v>315</v>
      </c>
      <c r="D513" t="s">
        <v>13</v>
      </c>
      <c r="E513">
        <v>60</v>
      </c>
      <c r="F513">
        <v>15</v>
      </c>
      <c r="G513">
        <v>281</v>
      </c>
      <c r="H513">
        <v>1560</v>
      </c>
      <c r="I513">
        <v>87</v>
      </c>
      <c r="J513">
        <v>2</v>
      </c>
      <c r="K513" t="s">
        <v>22</v>
      </c>
      <c r="L513" t="s">
        <v>37</v>
      </c>
      <c r="M513">
        <v>3</v>
      </c>
      <c r="N513">
        <f t="shared" si="42"/>
        <v>3600</v>
      </c>
      <c r="O513">
        <f t="shared" si="43"/>
        <v>3528</v>
      </c>
      <c r="P513" s="1">
        <f t="shared" si="44"/>
        <v>40.551724137931032</v>
      </c>
      <c r="Q513" s="1">
        <f t="shared" si="45"/>
        <v>1.434922444527138</v>
      </c>
      <c r="R513" s="1">
        <f t="shared" si="46"/>
        <v>282.46448320516708</v>
      </c>
      <c r="S513" s="1">
        <f t="shared" si="47"/>
        <v>1.4644832051670846</v>
      </c>
    </row>
    <row r="514" spans="1:19" x14ac:dyDescent="0.35">
      <c r="A514">
        <v>513</v>
      </c>
      <c r="B514" t="s">
        <v>36</v>
      </c>
      <c r="C514">
        <v>315</v>
      </c>
      <c r="D514" t="s">
        <v>13</v>
      </c>
      <c r="E514">
        <v>60</v>
      </c>
      <c r="F514">
        <v>15</v>
      </c>
      <c r="G514">
        <v>272</v>
      </c>
      <c r="H514">
        <v>1626</v>
      </c>
      <c r="I514">
        <v>84</v>
      </c>
      <c r="J514">
        <v>2</v>
      </c>
      <c r="K514" t="s">
        <v>22</v>
      </c>
      <c r="L514" t="s">
        <v>37</v>
      </c>
      <c r="M514">
        <v>3</v>
      </c>
      <c r="N514">
        <f t="shared" si="42"/>
        <v>3600</v>
      </c>
      <c r="O514">
        <f t="shared" si="43"/>
        <v>3528</v>
      </c>
      <c r="P514" s="1">
        <f t="shared" si="44"/>
        <v>42</v>
      </c>
      <c r="Q514" s="1">
        <f t="shared" si="45"/>
        <v>1.3854423602330987</v>
      </c>
      <c r="R514" s="1">
        <f t="shared" si="46"/>
        <v>272.72432861188548</v>
      </c>
      <c r="S514" s="1">
        <f t="shared" si="47"/>
        <v>0.72432861188548259</v>
      </c>
    </row>
    <row r="515" spans="1:19" x14ac:dyDescent="0.35">
      <c r="A515">
        <v>514</v>
      </c>
      <c r="B515" t="s">
        <v>36</v>
      </c>
      <c r="C515">
        <v>315</v>
      </c>
      <c r="D515" t="s">
        <v>13</v>
      </c>
      <c r="E515">
        <v>60</v>
      </c>
      <c r="F515">
        <v>15</v>
      </c>
      <c r="G515">
        <v>236</v>
      </c>
      <c r="H515">
        <v>1866</v>
      </c>
      <c r="I515">
        <v>73</v>
      </c>
      <c r="J515">
        <v>2</v>
      </c>
      <c r="K515" t="s">
        <v>22</v>
      </c>
      <c r="L515" t="s">
        <v>37</v>
      </c>
      <c r="M515">
        <v>3</v>
      </c>
      <c r="N515">
        <f t="shared" ref="N515:N578" si="48">60*60*2/J515</f>
        <v>3600</v>
      </c>
      <c r="O515">
        <f t="shared" ref="O515:O578" si="49">N515*(1-0.02)</f>
        <v>3528</v>
      </c>
      <c r="P515" s="1">
        <f t="shared" ref="P515:P578" si="50">O515/I515</f>
        <v>48.328767123287669</v>
      </c>
      <c r="Q515" s="1">
        <f t="shared" ref="Q515:Q578" si="51">(I515*2*PI()/60)*(C515/2000)</f>
        <v>1.2040153844882882</v>
      </c>
      <c r="R515" s="1">
        <f t="shared" ref="R515:R578" si="52">Q515*196.85</f>
        <v>237.0104284365195</v>
      </c>
      <c r="S515" s="1">
        <f t="shared" ref="S515:S578" si="53">R515-G515</f>
        <v>1.0104284365195042</v>
      </c>
    </row>
    <row r="516" spans="1:19" x14ac:dyDescent="0.35">
      <c r="A516">
        <v>515</v>
      </c>
      <c r="B516" t="s">
        <v>36</v>
      </c>
      <c r="C516">
        <v>315</v>
      </c>
      <c r="D516" t="s">
        <v>13</v>
      </c>
      <c r="E516">
        <v>60</v>
      </c>
      <c r="F516">
        <v>15</v>
      </c>
      <c r="G516">
        <v>189</v>
      </c>
      <c r="H516">
        <v>2312</v>
      </c>
      <c r="I516">
        <v>58</v>
      </c>
      <c r="J516">
        <v>2</v>
      </c>
      <c r="K516" t="s">
        <v>22</v>
      </c>
      <c r="L516" t="s">
        <v>37</v>
      </c>
      <c r="M516">
        <v>3</v>
      </c>
      <c r="N516">
        <f t="shared" si="48"/>
        <v>3600</v>
      </c>
      <c r="O516">
        <f t="shared" si="49"/>
        <v>3528</v>
      </c>
      <c r="P516" s="1">
        <f t="shared" si="50"/>
        <v>60.827586206896555</v>
      </c>
      <c r="Q516" s="1">
        <f t="shared" si="51"/>
        <v>0.95661496301809212</v>
      </c>
      <c r="R516" s="1">
        <f t="shared" si="52"/>
        <v>188.30965547011144</v>
      </c>
      <c r="S516" s="1">
        <f t="shared" si="53"/>
        <v>-0.69034452988856287</v>
      </c>
    </row>
    <row r="517" spans="1:19" x14ac:dyDescent="0.35">
      <c r="A517">
        <v>516</v>
      </c>
      <c r="B517" t="s">
        <v>36</v>
      </c>
      <c r="C517">
        <v>315</v>
      </c>
      <c r="D517" t="s">
        <v>13</v>
      </c>
      <c r="E517">
        <v>60</v>
      </c>
      <c r="F517">
        <v>10</v>
      </c>
      <c r="G517">
        <v>201</v>
      </c>
      <c r="H517">
        <v>1470</v>
      </c>
      <c r="I517">
        <v>62</v>
      </c>
      <c r="J517">
        <v>4</v>
      </c>
      <c r="K517" t="s">
        <v>22</v>
      </c>
      <c r="L517" t="s">
        <v>37</v>
      </c>
      <c r="M517">
        <v>3</v>
      </c>
      <c r="N517">
        <f t="shared" si="48"/>
        <v>1800</v>
      </c>
      <c r="O517">
        <f t="shared" si="49"/>
        <v>1764</v>
      </c>
      <c r="P517" s="1">
        <f t="shared" si="50"/>
        <v>28.451612903225808</v>
      </c>
      <c r="Q517" s="1">
        <f t="shared" si="51"/>
        <v>1.0225884087434776</v>
      </c>
      <c r="R517" s="1">
        <f t="shared" si="52"/>
        <v>201.29652826115355</v>
      </c>
      <c r="S517" s="1">
        <f t="shared" si="53"/>
        <v>0.29652826115355424</v>
      </c>
    </row>
    <row r="518" spans="1:19" x14ac:dyDescent="0.35">
      <c r="A518">
        <v>517</v>
      </c>
      <c r="B518" t="s">
        <v>36</v>
      </c>
      <c r="C518">
        <v>315</v>
      </c>
      <c r="D518" t="s">
        <v>13</v>
      </c>
      <c r="E518">
        <v>60</v>
      </c>
      <c r="F518">
        <v>10</v>
      </c>
      <c r="G518">
        <v>170</v>
      </c>
      <c r="H518">
        <v>1760</v>
      </c>
      <c r="I518">
        <v>52</v>
      </c>
      <c r="J518">
        <v>4</v>
      </c>
      <c r="K518" t="s">
        <v>22</v>
      </c>
      <c r="L518" t="s">
        <v>37</v>
      </c>
      <c r="M518">
        <v>3</v>
      </c>
      <c r="N518">
        <f t="shared" si="48"/>
        <v>1800</v>
      </c>
      <c r="O518">
        <f t="shared" si="49"/>
        <v>1764</v>
      </c>
      <c r="P518" s="1">
        <f t="shared" si="50"/>
        <v>33.92307692307692</v>
      </c>
      <c r="Q518" s="1">
        <f t="shared" si="51"/>
        <v>0.85765479443001358</v>
      </c>
      <c r="R518" s="1">
        <f t="shared" si="52"/>
        <v>168.82934628354818</v>
      </c>
      <c r="S518" s="1">
        <f t="shared" si="53"/>
        <v>-1.1706537164518238</v>
      </c>
    </row>
    <row r="519" spans="1:19" x14ac:dyDescent="0.35">
      <c r="A519">
        <v>518</v>
      </c>
      <c r="B519" t="s">
        <v>36</v>
      </c>
      <c r="C519">
        <v>315</v>
      </c>
      <c r="D519" t="s">
        <v>13</v>
      </c>
      <c r="E519">
        <v>60</v>
      </c>
      <c r="F519">
        <v>10</v>
      </c>
      <c r="G519">
        <v>142</v>
      </c>
      <c r="H519">
        <v>2100</v>
      </c>
      <c r="I519">
        <v>44</v>
      </c>
      <c r="J519">
        <v>4</v>
      </c>
      <c r="K519" t="s">
        <v>22</v>
      </c>
      <c r="L519" t="s">
        <v>37</v>
      </c>
      <c r="M519">
        <v>3</v>
      </c>
      <c r="N519">
        <f t="shared" si="48"/>
        <v>1800</v>
      </c>
      <c r="O519">
        <f t="shared" si="49"/>
        <v>1764</v>
      </c>
      <c r="P519" s="1">
        <f t="shared" si="50"/>
        <v>40.090909090909093</v>
      </c>
      <c r="Q519" s="1">
        <f t="shared" si="51"/>
        <v>0.72570790297924215</v>
      </c>
      <c r="R519" s="1">
        <f t="shared" si="52"/>
        <v>142.8556007014638</v>
      </c>
      <c r="S519" s="1">
        <f t="shared" si="53"/>
        <v>0.85560070146379985</v>
      </c>
    </row>
    <row r="520" spans="1:19" x14ac:dyDescent="0.35">
      <c r="A520">
        <v>519</v>
      </c>
      <c r="B520" t="s">
        <v>36</v>
      </c>
      <c r="C520">
        <v>315</v>
      </c>
      <c r="D520" t="s">
        <v>13</v>
      </c>
      <c r="E520">
        <v>60</v>
      </c>
      <c r="F520">
        <v>7.5</v>
      </c>
      <c r="G520">
        <v>201</v>
      </c>
      <c r="H520">
        <v>1095</v>
      </c>
      <c r="I520">
        <v>62</v>
      </c>
      <c r="J520">
        <v>4</v>
      </c>
      <c r="K520" t="s">
        <v>22</v>
      </c>
      <c r="L520" t="s">
        <v>37</v>
      </c>
      <c r="M520">
        <v>3</v>
      </c>
      <c r="N520">
        <f t="shared" si="48"/>
        <v>1800</v>
      </c>
      <c r="O520">
        <f t="shared" si="49"/>
        <v>1764</v>
      </c>
      <c r="P520" s="1">
        <f t="shared" si="50"/>
        <v>28.451612903225808</v>
      </c>
      <c r="Q520" s="1">
        <f t="shared" si="51"/>
        <v>1.0225884087434776</v>
      </c>
      <c r="R520" s="1">
        <f t="shared" si="52"/>
        <v>201.29652826115355</v>
      </c>
      <c r="S520" s="1">
        <f t="shared" si="53"/>
        <v>0.29652826115355424</v>
      </c>
    </row>
    <row r="521" spans="1:19" x14ac:dyDescent="0.35">
      <c r="A521">
        <v>520</v>
      </c>
      <c r="B521" t="s">
        <v>36</v>
      </c>
      <c r="C521">
        <v>315</v>
      </c>
      <c r="D521" t="s">
        <v>13</v>
      </c>
      <c r="E521">
        <v>60</v>
      </c>
      <c r="F521">
        <v>7.5</v>
      </c>
      <c r="G521">
        <v>168</v>
      </c>
      <c r="H521">
        <v>1309</v>
      </c>
      <c r="I521">
        <v>52</v>
      </c>
      <c r="J521">
        <v>4</v>
      </c>
      <c r="K521" t="s">
        <v>22</v>
      </c>
      <c r="L521" t="s">
        <v>37</v>
      </c>
      <c r="M521">
        <v>3</v>
      </c>
      <c r="N521">
        <f t="shared" si="48"/>
        <v>1800</v>
      </c>
      <c r="O521">
        <f t="shared" si="49"/>
        <v>1764</v>
      </c>
      <c r="P521" s="1">
        <f t="shared" si="50"/>
        <v>33.92307692307692</v>
      </c>
      <c r="Q521" s="1">
        <f t="shared" si="51"/>
        <v>0.85765479443001358</v>
      </c>
      <c r="R521" s="1">
        <f t="shared" si="52"/>
        <v>168.82934628354818</v>
      </c>
      <c r="S521" s="1">
        <f t="shared" si="53"/>
        <v>0.82934628354817619</v>
      </c>
    </row>
    <row r="522" spans="1:19" x14ac:dyDescent="0.35">
      <c r="A522">
        <v>521</v>
      </c>
      <c r="B522" t="s">
        <v>36</v>
      </c>
      <c r="C522">
        <v>315</v>
      </c>
      <c r="D522" t="s">
        <v>13</v>
      </c>
      <c r="E522">
        <v>60</v>
      </c>
      <c r="F522">
        <v>7.5</v>
      </c>
      <c r="G522">
        <v>142</v>
      </c>
      <c r="H522">
        <v>1560</v>
      </c>
      <c r="I522">
        <v>44</v>
      </c>
      <c r="J522">
        <v>4</v>
      </c>
      <c r="K522" t="s">
        <v>22</v>
      </c>
      <c r="L522" t="s">
        <v>37</v>
      </c>
      <c r="M522">
        <v>3</v>
      </c>
      <c r="N522">
        <f t="shared" si="48"/>
        <v>1800</v>
      </c>
      <c r="O522">
        <f t="shared" si="49"/>
        <v>1764</v>
      </c>
      <c r="P522" s="1">
        <f t="shared" si="50"/>
        <v>40.090909090909093</v>
      </c>
      <c r="Q522" s="1">
        <f t="shared" si="51"/>
        <v>0.72570790297924215</v>
      </c>
      <c r="R522" s="1">
        <f t="shared" si="52"/>
        <v>142.8556007014638</v>
      </c>
      <c r="S522" s="1">
        <f t="shared" si="53"/>
        <v>0.85560070146379985</v>
      </c>
    </row>
    <row r="523" spans="1:19" x14ac:dyDescent="0.35">
      <c r="A523">
        <v>522</v>
      </c>
      <c r="B523" t="s">
        <v>36</v>
      </c>
      <c r="C523">
        <v>315</v>
      </c>
      <c r="D523" t="s">
        <v>13</v>
      </c>
      <c r="E523">
        <v>60</v>
      </c>
      <c r="F523">
        <v>7.5</v>
      </c>
      <c r="G523">
        <v>135</v>
      </c>
      <c r="H523">
        <v>1626</v>
      </c>
      <c r="I523">
        <v>42</v>
      </c>
      <c r="J523">
        <v>4</v>
      </c>
      <c r="K523" t="s">
        <v>22</v>
      </c>
      <c r="L523" t="s">
        <v>37</v>
      </c>
      <c r="M523">
        <v>3</v>
      </c>
      <c r="N523">
        <f t="shared" si="48"/>
        <v>1800</v>
      </c>
      <c r="O523">
        <f t="shared" si="49"/>
        <v>1764</v>
      </c>
      <c r="P523" s="1">
        <f t="shared" si="50"/>
        <v>42</v>
      </c>
      <c r="Q523" s="1">
        <f t="shared" si="51"/>
        <v>0.69272118011654937</v>
      </c>
      <c r="R523" s="1">
        <f t="shared" si="52"/>
        <v>136.36216430594274</v>
      </c>
      <c r="S523" s="1">
        <f t="shared" si="53"/>
        <v>1.3621643059427413</v>
      </c>
    </row>
    <row r="524" spans="1:19" x14ac:dyDescent="0.35">
      <c r="A524">
        <v>523</v>
      </c>
      <c r="B524" t="s">
        <v>36</v>
      </c>
      <c r="C524">
        <v>315</v>
      </c>
      <c r="D524" t="s">
        <v>13</v>
      </c>
      <c r="E524">
        <v>60</v>
      </c>
      <c r="F524">
        <v>7.5</v>
      </c>
      <c r="G524">
        <v>118</v>
      </c>
      <c r="H524">
        <v>1866</v>
      </c>
      <c r="I524">
        <v>36</v>
      </c>
      <c r="J524">
        <v>4</v>
      </c>
      <c r="K524" t="s">
        <v>22</v>
      </c>
      <c r="L524" t="s">
        <v>37</v>
      </c>
      <c r="M524">
        <v>3</v>
      </c>
      <c r="N524">
        <f t="shared" si="48"/>
        <v>1800</v>
      </c>
      <c r="O524">
        <f t="shared" si="49"/>
        <v>1764</v>
      </c>
      <c r="P524" s="1">
        <f t="shared" si="50"/>
        <v>49</v>
      </c>
      <c r="Q524" s="1">
        <f t="shared" si="51"/>
        <v>0.59376101152847094</v>
      </c>
      <c r="R524" s="1">
        <f t="shared" si="52"/>
        <v>116.88185511937949</v>
      </c>
      <c r="S524" s="1">
        <f t="shared" si="53"/>
        <v>-1.1181448806205054</v>
      </c>
    </row>
    <row r="525" spans="1:19" x14ac:dyDescent="0.35">
      <c r="A525">
        <v>524</v>
      </c>
      <c r="B525" t="s">
        <v>36</v>
      </c>
      <c r="C525">
        <v>315</v>
      </c>
      <c r="D525" t="s">
        <v>13</v>
      </c>
      <c r="E525">
        <v>60</v>
      </c>
      <c r="F525">
        <v>7.5</v>
      </c>
      <c r="G525">
        <v>107</v>
      </c>
      <c r="H525">
        <v>2128</v>
      </c>
      <c r="I525">
        <v>32</v>
      </c>
      <c r="J525">
        <v>4</v>
      </c>
      <c r="K525" t="s">
        <v>22</v>
      </c>
      <c r="L525" t="s">
        <v>37</v>
      </c>
      <c r="M525">
        <v>3</v>
      </c>
      <c r="N525">
        <f t="shared" si="48"/>
        <v>1800</v>
      </c>
      <c r="O525">
        <f t="shared" si="49"/>
        <v>1764</v>
      </c>
      <c r="P525" s="1">
        <f t="shared" si="50"/>
        <v>55.125</v>
      </c>
      <c r="Q525" s="1">
        <f t="shared" si="51"/>
        <v>0.52778756580308528</v>
      </c>
      <c r="R525" s="1">
        <f t="shared" si="52"/>
        <v>103.89498232833733</v>
      </c>
      <c r="S525" s="1">
        <f t="shared" si="53"/>
        <v>-3.1050176716626652</v>
      </c>
    </row>
    <row r="526" spans="1:19" x14ac:dyDescent="0.35">
      <c r="A526">
        <v>525</v>
      </c>
      <c r="B526" t="s">
        <v>36</v>
      </c>
      <c r="C526">
        <v>315</v>
      </c>
      <c r="D526" t="s">
        <v>13</v>
      </c>
      <c r="E526">
        <v>60</v>
      </c>
      <c r="F526">
        <v>7.5</v>
      </c>
      <c r="G526">
        <v>94</v>
      </c>
      <c r="H526">
        <v>2312</v>
      </c>
      <c r="I526">
        <v>29</v>
      </c>
      <c r="J526">
        <v>4</v>
      </c>
      <c r="K526" t="s">
        <v>22</v>
      </c>
      <c r="L526" t="s">
        <v>37</v>
      </c>
      <c r="M526">
        <v>3</v>
      </c>
      <c r="N526">
        <f t="shared" si="48"/>
        <v>1800</v>
      </c>
      <c r="O526">
        <f t="shared" si="49"/>
        <v>1764</v>
      </c>
      <c r="P526" s="1">
        <f t="shared" si="50"/>
        <v>60.827586206896555</v>
      </c>
      <c r="Q526" s="1">
        <f t="shared" si="51"/>
        <v>0.47830748150904606</v>
      </c>
      <c r="R526" s="1">
        <f t="shared" si="52"/>
        <v>94.154827735055719</v>
      </c>
      <c r="S526" s="1">
        <f t="shared" si="53"/>
        <v>0.15482773505571856</v>
      </c>
    </row>
    <row r="527" spans="1:19" x14ac:dyDescent="0.35">
      <c r="A527">
        <v>526</v>
      </c>
      <c r="B527" t="s">
        <v>36</v>
      </c>
      <c r="C527">
        <v>315</v>
      </c>
      <c r="D527" t="s">
        <v>13</v>
      </c>
      <c r="E527">
        <v>60</v>
      </c>
      <c r="F527">
        <v>5</v>
      </c>
      <c r="G527">
        <v>118</v>
      </c>
      <c r="H527">
        <v>1275</v>
      </c>
      <c r="I527">
        <v>36</v>
      </c>
      <c r="J527">
        <v>4</v>
      </c>
      <c r="K527" t="s">
        <v>22</v>
      </c>
      <c r="L527" t="s">
        <v>37</v>
      </c>
      <c r="M527">
        <v>3</v>
      </c>
      <c r="N527">
        <f t="shared" si="48"/>
        <v>1800</v>
      </c>
      <c r="O527">
        <f t="shared" si="49"/>
        <v>1764</v>
      </c>
      <c r="P527" s="1">
        <f t="shared" si="50"/>
        <v>49</v>
      </c>
      <c r="Q527" s="1">
        <f t="shared" si="51"/>
        <v>0.59376101152847094</v>
      </c>
      <c r="R527" s="1">
        <f t="shared" si="52"/>
        <v>116.88185511937949</v>
      </c>
      <c r="S527" s="1">
        <f t="shared" si="53"/>
        <v>-1.1181448806205054</v>
      </c>
    </row>
    <row r="528" spans="1:19" x14ac:dyDescent="0.35">
      <c r="A528">
        <v>527</v>
      </c>
      <c r="B528" t="s">
        <v>36</v>
      </c>
      <c r="C528">
        <v>315</v>
      </c>
      <c r="D528" t="s">
        <v>13</v>
      </c>
      <c r="E528">
        <v>60</v>
      </c>
      <c r="F528">
        <v>5</v>
      </c>
      <c r="G528">
        <v>107</v>
      </c>
      <c r="H528">
        <v>1418</v>
      </c>
      <c r="I528">
        <v>32</v>
      </c>
      <c r="J528">
        <v>4</v>
      </c>
      <c r="K528" t="s">
        <v>22</v>
      </c>
      <c r="L528" t="s">
        <v>37</v>
      </c>
      <c r="M528">
        <v>3</v>
      </c>
      <c r="N528">
        <f t="shared" si="48"/>
        <v>1800</v>
      </c>
      <c r="O528">
        <f t="shared" si="49"/>
        <v>1764</v>
      </c>
      <c r="P528" s="1">
        <f t="shared" si="50"/>
        <v>55.125</v>
      </c>
      <c r="Q528" s="1">
        <f t="shared" si="51"/>
        <v>0.52778756580308528</v>
      </c>
      <c r="R528" s="1">
        <f t="shared" si="52"/>
        <v>103.89498232833733</v>
      </c>
      <c r="S528" s="1">
        <f t="shared" si="53"/>
        <v>-3.1050176716626652</v>
      </c>
    </row>
    <row r="529" spans="1:19" x14ac:dyDescent="0.35">
      <c r="A529">
        <v>528</v>
      </c>
      <c r="B529" t="s">
        <v>36</v>
      </c>
      <c r="C529">
        <v>315</v>
      </c>
      <c r="D529" t="s">
        <v>13</v>
      </c>
      <c r="E529">
        <v>60</v>
      </c>
      <c r="F529">
        <v>5</v>
      </c>
      <c r="G529">
        <v>94</v>
      </c>
      <c r="H529">
        <v>1594</v>
      </c>
      <c r="I529">
        <v>29</v>
      </c>
      <c r="J529">
        <v>4</v>
      </c>
      <c r="K529" t="s">
        <v>22</v>
      </c>
      <c r="L529" t="s">
        <v>37</v>
      </c>
      <c r="M529">
        <v>3</v>
      </c>
      <c r="N529">
        <f t="shared" si="48"/>
        <v>1800</v>
      </c>
      <c r="O529">
        <f t="shared" si="49"/>
        <v>1764</v>
      </c>
      <c r="P529" s="1">
        <f t="shared" si="50"/>
        <v>60.827586206896555</v>
      </c>
      <c r="Q529" s="1">
        <f t="shared" si="51"/>
        <v>0.47830748150904606</v>
      </c>
      <c r="R529" s="1">
        <f t="shared" si="52"/>
        <v>94.154827735055719</v>
      </c>
      <c r="S529" s="1">
        <f t="shared" si="53"/>
        <v>0.15482773505571856</v>
      </c>
    </row>
    <row r="530" spans="1:19" x14ac:dyDescent="0.35">
      <c r="A530">
        <v>529</v>
      </c>
      <c r="B530" t="s">
        <v>36</v>
      </c>
      <c r="C530">
        <v>315</v>
      </c>
      <c r="D530" t="s">
        <v>13</v>
      </c>
      <c r="E530">
        <v>60</v>
      </c>
      <c r="F530">
        <v>5</v>
      </c>
      <c r="G530">
        <v>76</v>
      </c>
      <c r="H530">
        <v>1922</v>
      </c>
      <c r="I530">
        <v>23</v>
      </c>
      <c r="J530">
        <v>4</v>
      </c>
      <c r="K530" t="s">
        <v>22</v>
      </c>
      <c r="L530" t="s">
        <v>37</v>
      </c>
      <c r="M530">
        <v>3</v>
      </c>
      <c r="N530">
        <f t="shared" si="48"/>
        <v>1800</v>
      </c>
      <c r="O530">
        <f t="shared" si="49"/>
        <v>1764</v>
      </c>
      <c r="P530" s="1">
        <f t="shared" si="50"/>
        <v>76.695652173913047</v>
      </c>
      <c r="Q530" s="1">
        <f t="shared" si="51"/>
        <v>0.37934731292096752</v>
      </c>
      <c r="R530" s="1">
        <f t="shared" si="52"/>
        <v>74.674518548492458</v>
      </c>
      <c r="S530" s="1">
        <f t="shared" si="53"/>
        <v>-1.3254814515075424</v>
      </c>
    </row>
    <row r="531" spans="1:19" x14ac:dyDescent="0.35">
      <c r="A531">
        <v>530</v>
      </c>
      <c r="B531" t="s">
        <v>38</v>
      </c>
      <c r="C531">
        <v>400</v>
      </c>
      <c r="D531" t="s">
        <v>13</v>
      </c>
      <c r="E531">
        <v>60</v>
      </c>
      <c r="F531">
        <v>20</v>
      </c>
      <c r="G531">
        <v>885</v>
      </c>
      <c r="H531">
        <v>747</v>
      </c>
      <c r="I531">
        <v>215</v>
      </c>
      <c r="J531">
        <v>4</v>
      </c>
      <c r="K531" t="s">
        <v>14</v>
      </c>
      <c r="L531" t="s">
        <v>39</v>
      </c>
      <c r="M531">
        <v>3</v>
      </c>
      <c r="N531">
        <f t="shared" si="48"/>
        <v>1800</v>
      </c>
      <c r="O531">
        <f t="shared" si="49"/>
        <v>1764</v>
      </c>
      <c r="P531" s="1">
        <f t="shared" si="50"/>
        <v>8.2046511627906984</v>
      </c>
      <c r="Q531" s="1">
        <f t="shared" si="51"/>
        <v>4.5029494701453698</v>
      </c>
      <c r="R531" s="1">
        <f t="shared" si="52"/>
        <v>886.40560319811607</v>
      </c>
      <c r="S531" s="1">
        <f t="shared" si="53"/>
        <v>1.4056031981160686</v>
      </c>
    </row>
    <row r="532" spans="1:19" x14ac:dyDescent="0.35">
      <c r="A532">
        <v>531</v>
      </c>
      <c r="B532" t="s">
        <v>38</v>
      </c>
      <c r="C532">
        <v>400</v>
      </c>
      <c r="D532" t="s">
        <v>13</v>
      </c>
      <c r="E532">
        <v>60</v>
      </c>
      <c r="F532">
        <v>20</v>
      </c>
      <c r="G532">
        <v>639</v>
      </c>
      <c r="H532">
        <v>1033</v>
      </c>
      <c r="I532">
        <v>155</v>
      </c>
      <c r="J532">
        <v>4</v>
      </c>
      <c r="K532" t="s">
        <v>14</v>
      </c>
      <c r="L532" t="s">
        <v>39</v>
      </c>
      <c r="M532">
        <v>3</v>
      </c>
      <c r="N532">
        <f t="shared" si="48"/>
        <v>1800</v>
      </c>
      <c r="O532">
        <f t="shared" si="49"/>
        <v>1764</v>
      </c>
      <c r="P532" s="1">
        <f t="shared" si="50"/>
        <v>11.380645161290323</v>
      </c>
      <c r="Q532" s="1">
        <f t="shared" si="51"/>
        <v>3.246312408709453</v>
      </c>
      <c r="R532" s="1">
        <f t="shared" si="52"/>
        <v>639.03659765445582</v>
      </c>
      <c r="S532" s="1">
        <f t="shared" si="53"/>
        <v>3.6597654455817974E-2</v>
      </c>
    </row>
    <row r="533" spans="1:19" x14ac:dyDescent="0.35">
      <c r="A533">
        <v>532</v>
      </c>
      <c r="B533" t="s">
        <v>38</v>
      </c>
      <c r="C533">
        <v>400</v>
      </c>
      <c r="D533" t="s">
        <v>13</v>
      </c>
      <c r="E533">
        <v>60</v>
      </c>
      <c r="F533">
        <v>20</v>
      </c>
      <c r="G533">
        <v>591</v>
      </c>
      <c r="H533">
        <v>1119</v>
      </c>
      <c r="I533">
        <v>143</v>
      </c>
      <c r="J533">
        <v>4</v>
      </c>
      <c r="K533" t="s">
        <v>14</v>
      </c>
      <c r="L533" t="s">
        <v>39</v>
      </c>
      <c r="M533">
        <v>3</v>
      </c>
      <c r="N533">
        <f t="shared" si="48"/>
        <v>1800</v>
      </c>
      <c r="O533">
        <f t="shared" si="49"/>
        <v>1764</v>
      </c>
      <c r="P533" s="1">
        <f t="shared" si="50"/>
        <v>12.335664335664335</v>
      </c>
      <c r="Q533" s="1">
        <f t="shared" si="51"/>
        <v>2.9949849964222697</v>
      </c>
      <c r="R533" s="1">
        <f t="shared" si="52"/>
        <v>589.56279654572381</v>
      </c>
      <c r="S533" s="1">
        <f t="shared" si="53"/>
        <v>-1.4372034542761867</v>
      </c>
    </row>
    <row r="534" spans="1:19" x14ac:dyDescent="0.35">
      <c r="A534">
        <v>533</v>
      </c>
      <c r="B534" t="s">
        <v>38</v>
      </c>
      <c r="C534">
        <v>400</v>
      </c>
      <c r="D534" t="s">
        <v>13</v>
      </c>
      <c r="E534">
        <v>60</v>
      </c>
      <c r="F534">
        <v>20</v>
      </c>
      <c r="G534">
        <v>534</v>
      </c>
      <c r="H534">
        <v>1238</v>
      </c>
      <c r="I534">
        <v>130</v>
      </c>
      <c r="J534">
        <v>4</v>
      </c>
      <c r="K534" t="s">
        <v>14</v>
      </c>
      <c r="L534" t="s">
        <v>39</v>
      </c>
      <c r="M534">
        <v>3</v>
      </c>
      <c r="N534">
        <f t="shared" si="48"/>
        <v>1800</v>
      </c>
      <c r="O534">
        <f t="shared" si="49"/>
        <v>1764</v>
      </c>
      <c r="P534" s="1">
        <f t="shared" si="50"/>
        <v>13.569230769230769</v>
      </c>
      <c r="Q534" s="1">
        <f t="shared" si="51"/>
        <v>2.7227136331111539</v>
      </c>
      <c r="R534" s="1">
        <f t="shared" si="52"/>
        <v>535.96617867793066</v>
      </c>
      <c r="S534" s="1">
        <f t="shared" si="53"/>
        <v>1.9661786779306567</v>
      </c>
    </row>
    <row r="535" spans="1:19" x14ac:dyDescent="0.35">
      <c r="A535">
        <v>534</v>
      </c>
      <c r="B535" t="s">
        <v>38</v>
      </c>
      <c r="C535">
        <v>400</v>
      </c>
      <c r="D535" t="s">
        <v>13</v>
      </c>
      <c r="E535">
        <v>60</v>
      </c>
      <c r="F535">
        <v>20</v>
      </c>
      <c r="G535">
        <v>501</v>
      </c>
      <c r="H535">
        <v>1320</v>
      </c>
      <c r="I535">
        <v>122</v>
      </c>
      <c r="J535">
        <v>4</v>
      </c>
      <c r="K535" t="s">
        <v>14</v>
      </c>
      <c r="L535" t="s">
        <v>39</v>
      </c>
      <c r="M535">
        <v>3</v>
      </c>
      <c r="N535">
        <f t="shared" si="48"/>
        <v>1800</v>
      </c>
      <c r="O535">
        <f t="shared" si="49"/>
        <v>1764</v>
      </c>
      <c r="P535" s="1">
        <f t="shared" si="50"/>
        <v>14.459016393442623</v>
      </c>
      <c r="Q535" s="1">
        <f t="shared" si="51"/>
        <v>2.5551620249196985</v>
      </c>
      <c r="R535" s="1">
        <f t="shared" si="52"/>
        <v>502.98364460544263</v>
      </c>
      <c r="S535" s="1">
        <f t="shared" si="53"/>
        <v>1.9836446054426347</v>
      </c>
    </row>
    <row r="536" spans="1:19" x14ac:dyDescent="0.35">
      <c r="A536">
        <v>535</v>
      </c>
      <c r="B536" t="s">
        <v>38</v>
      </c>
      <c r="C536">
        <v>400</v>
      </c>
      <c r="D536" t="s">
        <v>13</v>
      </c>
      <c r="E536">
        <v>60</v>
      </c>
      <c r="F536">
        <v>20</v>
      </c>
      <c r="G536">
        <v>420</v>
      </c>
      <c r="H536">
        <v>1573</v>
      </c>
      <c r="I536">
        <v>102</v>
      </c>
      <c r="J536">
        <v>4</v>
      </c>
      <c r="K536" t="s">
        <v>14</v>
      </c>
      <c r="L536" t="s">
        <v>39</v>
      </c>
      <c r="M536">
        <v>3</v>
      </c>
      <c r="N536">
        <f t="shared" si="48"/>
        <v>1800</v>
      </c>
      <c r="O536">
        <f t="shared" si="49"/>
        <v>1764</v>
      </c>
      <c r="P536" s="1">
        <f t="shared" si="50"/>
        <v>17.294117647058822</v>
      </c>
      <c r="Q536" s="1">
        <f t="shared" si="51"/>
        <v>2.1362830044410592</v>
      </c>
      <c r="R536" s="1">
        <f t="shared" si="52"/>
        <v>420.52730942422249</v>
      </c>
      <c r="S536" s="1">
        <f t="shared" si="53"/>
        <v>0.52730942422249427</v>
      </c>
    </row>
    <row r="537" spans="1:19" x14ac:dyDescent="0.35">
      <c r="A537">
        <v>536</v>
      </c>
      <c r="B537" t="s">
        <v>38</v>
      </c>
      <c r="C537">
        <v>400</v>
      </c>
      <c r="D537" t="s">
        <v>13</v>
      </c>
      <c r="E537">
        <v>60</v>
      </c>
      <c r="F537">
        <v>20</v>
      </c>
      <c r="G537">
        <v>386</v>
      </c>
      <c r="H537">
        <v>1713</v>
      </c>
      <c r="I537">
        <v>94</v>
      </c>
      <c r="J537">
        <v>4</v>
      </c>
      <c r="K537" t="s">
        <v>14</v>
      </c>
      <c r="L537" t="s">
        <v>39</v>
      </c>
      <c r="M537">
        <v>3</v>
      </c>
      <c r="N537">
        <f t="shared" si="48"/>
        <v>1800</v>
      </c>
      <c r="O537">
        <f t="shared" si="49"/>
        <v>1764</v>
      </c>
      <c r="P537" s="1">
        <f t="shared" si="50"/>
        <v>18.76595744680851</v>
      </c>
      <c r="Q537" s="1">
        <f t="shared" si="51"/>
        <v>1.9687313962496038</v>
      </c>
      <c r="R537" s="1">
        <f t="shared" si="52"/>
        <v>387.54477535173447</v>
      </c>
      <c r="S537" s="1">
        <f t="shared" si="53"/>
        <v>1.5447753517344722</v>
      </c>
    </row>
    <row r="538" spans="1:19" x14ac:dyDescent="0.35">
      <c r="A538">
        <v>537</v>
      </c>
      <c r="B538" t="s">
        <v>38</v>
      </c>
      <c r="C538">
        <v>400</v>
      </c>
      <c r="D538" t="s">
        <v>13</v>
      </c>
      <c r="E538">
        <v>60</v>
      </c>
      <c r="F538">
        <v>20</v>
      </c>
      <c r="G538">
        <v>354</v>
      </c>
      <c r="H538">
        <v>1867</v>
      </c>
      <c r="I538">
        <v>86</v>
      </c>
      <c r="J538">
        <v>4</v>
      </c>
      <c r="K538" t="s">
        <v>14</v>
      </c>
      <c r="L538" t="s">
        <v>39</v>
      </c>
      <c r="M538">
        <v>3</v>
      </c>
      <c r="N538">
        <f t="shared" si="48"/>
        <v>1800</v>
      </c>
      <c r="O538">
        <f t="shared" si="49"/>
        <v>1764</v>
      </c>
      <c r="P538" s="1">
        <f t="shared" si="50"/>
        <v>20.511627906976745</v>
      </c>
      <c r="Q538" s="1">
        <f t="shared" si="51"/>
        <v>1.8011797880581479</v>
      </c>
      <c r="R538" s="1">
        <f t="shared" si="52"/>
        <v>354.56224127924639</v>
      </c>
      <c r="S538" s="1">
        <f t="shared" si="53"/>
        <v>0.56224127924639333</v>
      </c>
    </row>
    <row r="539" spans="1:19" x14ac:dyDescent="0.35">
      <c r="A539">
        <v>538</v>
      </c>
      <c r="B539" t="s">
        <v>38</v>
      </c>
      <c r="C539">
        <v>400</v>
      </c>
      <c r="D539" t="s">
        <v>13</v>
      </c>
      <c r="E539">
        <v>60</v>
      </c>
      <c r="F539">
        <v>20</v>
      </c>
      <c r="G539">
        <v>306</v>
      </c>
      <c r="H539">
        <v>2160</v>
      </c>
      <c r="I539">
        <v>74</v>
      </c>
      <c r="J539">
        <v>4</v>
      </c>
      <c r="K539" t="s">
        <v>14</v>
      </c>
      <c r="L539" t="s">
        <v>39</v>
      </c>
      <c r="M539">
        <v>3</v>
      </c>
      <c r="N539">
        <f t="shared" si="48"/>
        <v>1800</v>
      </c>
      <c r="O539">
        <f t="shared" si="49"/>
        <v>1764</v>
      </c>
      <c r="P539" s="1">
        <f t="shared" si="50"/>
        <v>23.837837837837839</v>
      </c>
      <c r="Q539" s="1">
        <f t="shared" si="51"/>
        <v>1.5498523757709648</v>
      </c>
      <c r="R539" s="1">
        <f t="shared" si="52"/>
        <v>305.08844017051439</v>
      </c>
      <c r="S539" s="1">
        <f t="shared" si="53"/>
        <v>-0.91155982948561132</v>
      </c>
    </row>
    <row r="540" spans="1:19" x14ac:dyDescent="0.35">
      <c r="A540">
        <v>539</v>
      </c>
      <c r="B540" t="s">
        <v>38</v>
      </c>
      <c r="C540">
        <v>400</v>
      </c>
      <c r="D540" t="s">
        <v>13</v>
      </c>
      <c r="E540">
        <v>60</v>
      </c>
      <c r="F540">
        <v>20</v>
      </c>
      <c r="G540">
        <v>254</v>
      </c>
      <c r="H540">
        <v>2600</v>
      </c>
      <c r="I540">
        <v>62</v>
      </c>
      <c r="J540">
        <v>4</v>
      </c>
      <c r="K540" t="s">
        <v>14</v>
      </c>
      <c r="L540" t="s">
        <v>39</v>
      </c>
      <c r="M540">
        <v>3</v>
      </c>
      <c r="N540">
        <f t="shared" si="48"/>
        <v>1800</v>
      </c>
      <c r="O540">
        <f t="shared" si="49"/>
        <v>1764</v>
      </c>
      <c r="P540" s="1">
        <f t="shared" si="50"/>
        <v>28.451612903225808</v>
      </c>
      <c r="Q540" s="1">
        <f t="shared" si="51"/>
        <v>1.2985249634837812</v>
      </c>
      <c r="R540" s="1">
        <f t="shared" si="52"/>
        <v>255.61463906178233</v>
      </c>
      <c r="S540" s="1">
        <f t="shared" si="53"/>
        <v>1.6146390617823272</v>
      </c>
    </row>
    <row r="541" spans="1:19" x14ac:dyDescent="0.35">
      <c r="A541">
        <v>540</v>
      </c>
      <c r="B541" t="s">
        <v>38</v>
      </c>
      <c r="C541">
        <v>400</v>
      </c>
      <c r="D541" t="s">
        <v>13</v>
      </c>
      <c r="E541">
        <v>60</v>
      </c>
      <c r="F541">
        <v>15</v>
      </c>
      <c r="G541">
        <v>885</v>
      </c>
      <c r="H541">
        <v>560</v>
      </c>
      <c r="I541">
        <v>215</v>
      </c>
      <c r="J541">
        <v>4</v>
      </c>
      <c r="K541" t="s">
        <v>14</v>
      </c>
      <c r="L541" t="s">
        <v>39</v>
      </c>
      <c r="M541">
        <v>3</v>
      </c>
      <c r="N541">
        <f t="shared" si="48"/>
        <v>1800</v>
      </c>
      <c r="O541">
        <f t="shared" si="49"/>
        <v>1764</v>
      </c>
      <c r="P541" s="1">
        <f t="shared" si="50"/>
        <v>8.2046511627906984</v>
      </c>
      <c r="Q541" s="1">
        <f t="shared" si="51"/>
        <v>4.5029494701453698</v>
      </c>
      <c r="R541" s="1">
        <f t="shared" si="52"/>
        <v>886.40560319811607</v>
      </c>
      <c r="S541" s="1">
        <f t="shared" si="53"/>
        <v>1.4056031981160686</v>
      </c>
    </row>
    <row r="542" spans="1:19" x14ac:dyDescent="0.35">
      <c r="A542">
        <v>541</v>
      </c>
      <c r="B542" t="s">
        <v>38</v>
      </c>
      <c r="C542">
        <v>400</v>
      </c>
      <c r="D542" t="s">
        <v>13</v>
      </c>
      <c r="E542">
        <v>60</v>
      </c>
      <c r="F542">
        <v>15</v>
      </c>
      <c r="G542">
        <v>639</v>
      </c>
      <c r="H542">
        <v>775</v>
      </c>
      <c r="I542">
        <v>155</v>
      </c>
      <c r="J542">
        <v>4</v>
      </c>
      <c r="K542" t="s">
        <v>14</v>
      </c>
      <c r="L542" t="s">
        <v>39</v>
      </c>
      <c r="M542">
        <v>3</v>
      </c>
      <c r="N542">
        <f t="shared" si="48"/>
        <v>1800</v>
      </c>
      <c r="O542">
        <f t="shared" si="49"/>
        <v>1764</v>
      </c>
      <c r="P542" s="1">
        <f t="shared" si="50"/>
        <v>11.380645161290323</v>
      </c>
      <c r="Q542" s="1">
        <f t="shared" si="51"/>
        <v>3.246312408709453</v>
      </c>
      <c r="R542" s="1">
        <f t="shared" si="52"/>
        <v>639.03659765445582</v>
      </c>
      <c r="S542" s="1">
        <f t="shared" si="53"/>
        <v>3.6597654455817974E-2</v>
      </c>
    </row>
    <row r="543" spans="1:19" x14ac:dyDescent="0.35">
      <c r="A543">
        <v>542</v>
      </c>
      <c r="B543" t="s">
        <v>38</v>
      </c>
      <c r="C543">
        <v>400</v>
      </c>
      <c r="D543" t="s">
        <v>13</v>
      </c>
      <c r="E543">
        <v>60</v>
      </c>
      <c r="F543">
        <v>15</v>
      </c>
      <c r="G543">
        <v>591</v>
      </c>
      <c r="H543">
        <v>839</v>
      </c>
      <c r="I543">
        <v>143</v>
      </c>
      <c r="J543">
        <v>4</v>
      </c>
      <c r="K543" t="s">
        <v>14</v>
      </c>
      <c r="L543" t="s">
        <v>39</v>
      </c>
      <c r="M543">
        <v>3</v>
      </c>
      <c r="N543">
        <f t="shared" si="48"/>
        <v>1800</v>
      </c>
      <c r="O543">
        <f t="shared" si="49"/>
        <v>1764</v>
      </c>
      <c r="P543" s="1">
        <f t="shared" si="50"/>
        <v>12.335664335664335</v>
      </c>
      <c r="Q543" s="1">
        <f t="shared" si="51"/>
        <v>2.9949849964222697</v>
      </c>
      <c r="R543" s="1">
        <f t="shared" si="52"/>
        <v>589.56279654572381</v>
      </c>
      <c r="S543" s="1">
        <f t="shared" si="53"/>
        <v>-1.4372034542761867</v>
      </c>
    </row>
    <row r="544" spans="1:19" x14ac:dyDescent="0.35">
      <c r="A544">
        <v>543</v>
      </c>
      <c r="B544" t="s">
        <v>38</v>
      </c>
      <c r="C544">
        <v>400</v>
      </c>
      <c r="D544" t="s">
        <v>13</v>
      </c>
      <c r="E544">
        <v>60</v>
      </c>
      <c r="F544">
        <v>15</v>
      </c>
      <c r="G544">
        <v>534</v>
      </c>
      <c r="H544">
        <v>928</v>
      </c>
      <c r="I544">
        <v>130</v>
      </c>
      <c r="J544">
        <v>4</v>
      </c>
      <c r="K544" t="s">
        <v>14</v>
      </c>
      <c r="L544" t="s">
        <v>39</v>
      </c>
      <c r="M544">
        <v>3</v>
      </c>
      <c r="N544">
        <f t="shared" si="48"/>
        <v>1800</v>
      </c>
      <c r="O544">
        <f t="shared" si="49"/>
        <v>1764</v>
      </c>
      <c r="P544" s="1">
        <f t="shared" si="50"/>
        <v>13.569230769230769</v>
      </c>
      <c r="Q544" s="1">
        <f t="shared" si="51"/>
        <v>2.7227136331111539</v>
      </c>
      <c r="R544" s="1">
        <f t="shared" si="52"/>
        <v>535.96617867793066</v>
      </c>
      <c r="S544" s="1">
        <f t="shared" si="53"/>
        <v>1.9661786779306567</v>
      </c>
    </row>
    <row r="545" spans="1:19" x14ac:dyDescent="0.35">
      <c r="A545">
        <v>544</v>
      </c>
      <c r="B545" t="s">
        <v>38</v>
      </c>
      <c r="C545">
        <v>400</v>
      </c>
      <c r="D545" t="s">
        <v>13</v>
      </c>
      <c r="E545">
        <v>60</v>
      </c>
      <c r="F545">
        <v>15</v>
      </c>
      <c r="G545">
        <v>501</v>
      </c>
      <c r="H545">
        <v>990</v>
      </c>
      <c r="I545">
        <v>122</v>
      </c>
      <c r="J545">
        <v>4</v>
      </c>
      <c r="K545" t="s">
        <v>14</v>
      </c>
      <c r="L545" t="s">
        <v>39</v>
      </c>
      <c r="M545">
        <v>3</v>
      </c>
      <c r="N545">
        <f t="shared" si="48"/>
        <v>1800</v>
      </c>
      <c r="O545">
        <f t="shared" si="49"/>
        <v>1764</v>
      </c>
      <c r="P545" s="1">
        <f t="shared" si="50"/>
        <v>14.459016393442623</v>
      </c>
      <c r="Q545" s="1">
        <f t="shared" si="51"/>
        <v>2.5551620249196985</v>
      </c>
      <c r="R545" s="1">
        <f t="shared" si="52"/>
        <v>502.98364460544263</v>
      </c>
      <c r="S545" s="1">
        <f t="shared" si="53"/>
        <v>1.9836446054426347</v>
      </c>
    </row>
    <row r="546" spans="1:19" x14ac:dyDescent="0.35">
      <c r="A546">
        <v>545</v>
      </c>
      <c r="B546" t="s">
        <v>38</v>
      </c>
      <c r="C546">
        <v>400</v>
      </c>
      <c r="D546" t="s">
        <v>13</v>
      </c>
      <c r="E546">
        <v>60</v>
      </c>
      <c r="F546">
        <v>15</v>
      </c>
      <c r="G546">
        <v>420</v>
      </c>
      <c r="H546">
        <v>1180</v>
      </c>
      <c r="I546">
        <v>102</v>
      </c>
      <c r="J546">
        <v>4</v>
      </c>
      <c r="K546" t="s">
        <v>14</v>
      </c>
      <c r="L546" t="s">
        <v>39</v>
      </c>
      <c r="M546">
        <v>3</v>
      </c>
      <c r="N546">
        <f t="shared" si="48"/>
        <v>1800</v>
      </c>
      <c r="O546">
        <f t="shared" si="49"/>
        <v>1764</v>
      </c>
      <c r="P546" s="1">
        <f t="shared" si="50"/>
        <v>17.294117647058822</v>
      </c>
      <c r="Q546" s="1">
        <f t="shared" si="51"/>
        <v>2.1362830044410592</v>
      </c>
      <c r="R546" s="1">
        <f t="shared" si="52"/>
        <v>420.52730942422249</v>
      </c>
      <c r="S546" s="1">
        <f t="shared" si="53"/>
        <v>0.52730942422249427</v>
      </c>
    </row>
    <row r="547" spans="1:19" x14ac:dyDescent="0.35">
      <c r="A547">
        <v>546</v>
      </c>
      <c r="B547" t="s">
        <v>38</v>
      </c>
      <c r="C547">
        <v>400</v>
      </c>
      <c r="D547" t="s">
        <v>13</v>
      </c>
      <c r="E547">
        <v>60</v>
      </c>
      <c r="F547">
        <v>15</v>
      </c>
      <c r="G547">
        <v>386</v>
      </c>
      <c r="H547">
        <v>1285</v>
      </c>
      <c r="I547">
        <v>94</v>
      </c>
      <c r="J547">
        <v>4</v>
      </c>
      <c r="K547" t="s">
        <v>14</v>
      </c>
      <c r="L547" t="s">
        <v>39</v>
      </c>
      <c r="M547">
        <v>3</v>
      </c>
      <c r="N547">
        <f t="shared" si="48"/>
        <v>1800</v>
      </c>
      <c r="O547">
        <f t="shared" si="49"/>
        <v>1764</v>
      </c>
      <c r="P547" s="1">
        <f t="shared" si="50"/>
        <v>18.76595744680851</v>
      </c>
      <c r="Q547" s="1">
        <f t="shared" si="51"/>
        <v>1.9687313962496038</v>
      </c>
      <c r="R547" s="1">
        <f t="shared" si="52"/>
        <v>387.54477535173447</v>
      </c>
      <c r="S547" s="1">
        <f t="shared" si="53"/>
        <v>1.5447753517344722</v>
      </c>
    </row>
    <row r="548" spans="1:19" x14ac:dyDescent="0.35">
      <c r="A548">
        <v>547</v>
      </c>
      <c r="B548" t="s">
        <v>38</v>
      </c>
      <c r="C548">
        <v>400</v>
      </c>
      <c r="D548" t="s">
        <v>13</v>
      </c>
      <c r="E548">
        <v>60</v>
      </c>
      <c r="F548">
        <v>15</v>
      </c>
      <c r="G548">
        <v>354</v>
      </c>
      <c r="H548">
        <v>1400</v>
      </c>
      <c r="I548">
        <v>86</v>
      </c>
      <c r="J548">
        <v>4</v>
      </c>
      <c r="K548" t="s">
        <v>14</v>
      </c>
      <c r="L548" t="s">
        <v>39</v>
      </c>
      <c r="M548">
        <v>3</v>
      </c>
      <c r="N548">
        <f t="shared" si="48"/>
        <v>1800</v>
      </c>
      <c r="O548">
        <f t="shared" si="49"/>
        <v>1764</v>
      </c>
      <c r="P548" s="1">
        <f t="shared" si="50"/>
        <v>20.511627906976745</v>
      </c>
      <c r="Q548" s="1">
        <f t="shared" si="51"/>
        <v>1.8011797880581479</v>
      </c>
      <c r="R548" s="1">
        <f t="shared" si="52"/>
        <v>354.56224127924639</v>
      </c>
      <c r="S548" s="1">
        <f t="shared" si="53"/>
        <v>0.56224127924639333</v>
      </c>
    </row>
    <row r="549" spans="1:19" x14ac:dyDescent="0.35">
      <c r="A549">
        <v>548</v>
      </c>
      <c r="B549" t="s">
        <v>38</v>
      </c>
      <c r="C549">
        <v>400</v>
      </c>
      <c r="D549" t="s">
        <v>13</v>
      </c>
      <c r="E549">
        <v>60</v>
      </c>
      <c r="F549">
        <v>15</v>
      </c>
      <c r="G549">
        <v>306</v>
      </c>
      <c r="H549">
        <v>1620</v>
      </c>
      <c r="I549">
        <v>74</v>
      </c>
      <c r="J549">
        <v>4</v>
      </c>
      <c r="K549" t="s">
        <v>14</v>
      </c>
      <c r="L549" t="s">
        <v>39</v>
      </c>
      <c r="M549">
        <v>3</v>
      </c>
      <c r="N549">
        <f t="shared" si="48"/>
        <v>1800</v>
      </c>
      <c r="O549">
        <f t="shared" si="49"/>
        <v>1764</v>
      </c>
      <c r="P549" s="1">
        <f t="shared" si="50"/>
        <v>23.837837837837839</v>
      </c>
      <c r="Q549" s="1">
        <f t="shared" si="51"/>
        <v>1.5498523757709648</v>
      </c>
      <c r="R549" s="1">
        <f t="shared" si="52"/>
        <v>305.08844017051439</v>
      </c>
      <c r="S549" s="1">
        <f t="shared" si="53"/>
        <v>-0.91155982948561132</v>
      </c>
    </row>
    <row r="550" spans="1:19" x14ac:dyDescent="0.35">
      <c r="A550">
        <v>549</v>
      </c>
      <c r="B550" t="s">
        <v>38</v>
      </c>
      <c r="C550">
        <v>400</v>
      </c>
      <c r="D550" t="s">
        <v>13</v>
      </c>
      <c r="E550">
        <v>60</v>
      </c>
      <c r="F550">
        <v>15</v>
      </c>
      <c r="G550">
        <v>254</v>
      </c>
      <c r="H550">
        <v>1950</v>
      </c>
      <c r="I550">
        <v>62</v>
      </c>
      <c r="J550">
        <v>4</v>
      </c>
      <c r="K550" t="s">
        <v>14</v>
      </c>
      <c r="L550" t="s">
        <v>39</v>
      </c>
      <c r="M550">
        <v>3</v>
      </c>
      <c r="N550">
        <f t="shared" si="48"/>
        <v>1800</v>
      </c>
      <c r="O550">
        <f t="shared" si="49"/>
        <v>1764</v>
      </c>
      <c r="P550" s="1">
        <f t="shared" si="50"/>
        <v>28.451612903225808</v>
      </c>
      <c r="Q550" s="1">
        <f t="shared" si="51"/>
        <v>1.2985249634837812</v>
      </c>
      <c r="R550" s="1">
        <f t="shared" si="52"/>
        <v>255.61463906178233</v>
      </c>
      <c r="S550" s="1">
        <f t="shared" si="53"/>
        <v>1.6146390617823272</v>
      </c>
    </row>
    <row r="551" spans="1:19" x14ac:dyDescent="0.35">
      <c r="A551">
        <v>550</v>
      </c>
      <c r="B551" t="s">
        <v>38</v>
      </c>
      <c r="C551">
        <v>400</v>
      </c>
      <c r="D551" t="s">
        <v>13</v>
      </c>
      <c r="E551">
        <v>60</v>
      </c>
      <c r="F551">
        <v>15</v>
      </c>
      <c r="G551">
        <v>214</v>
      </c>
      <c r="H551">
        <v>2321</v>
      </c>
      <c r="I551">
        <v>52</v>
      </c>
      <c r="J551">
        <v>4</v>
      </c>
      <c r="K551" t="s">
        <v>14</v>
      </c>
      <c r="L551" t="s">
        <v>39</v>
      </c>
      <c r="M551">
        <v>3</v>
      </c>
      <c r="N551">
        <f t="shared" si="48"/>
        <v>1800</v>
      </c>
      <c r="O551">
        <f t="shared" si="49"/>
        <v>1764</v>
      </c>
      <c r="P551" s="1">
        <f t="shared" si="50"/>
        <v>33.92307692307692</v>
      </c>
      <c r="Q551" s="1">
        <f t="shared" si="51"/>
        <v>1.0890854532444618</v>
      </c>
      <c r="R551" s="1">
        <f t="shared" si="52"/>
        <v>214.38647147117231</v>
      </c>
      <c r="S551" s="1">
        <f t="shared" si="53"/>
        <v>0.38647147117231384</v>
      </c>
    </row>
    <row r="552" spans="1:19" x14ac:dyDescent="0.35">
      <c r="A552">
        <v>551</v>
      </c>
      <c r="B552" t="s">
        <v>38</v>
      </c>
      <c r="C552">
        <v>400</v>
      </c>
      <c r="D552" t="s">
        <v>13</v>
      </c>
      <c r="E552">
        <v>60</v>
      </c>
      <c r="F552">
        <v>15</v>
      </c>
      <c r="G552">
        <v>185</v>
      </c>
      <c r="H552">
        <v>2685</v>
      </c>
      <c r="I552">
        <v>45</v>
      </c>
      <c r="J552">
        <v>4</v>
      </c>
      <c r="K552" t="s">
        <v>14</v>
      </c>
      <c r="L552" t="s">
        <v>39</v>
      </c>
      <c r="M552">
        <v>3</v>
      </c>
      <c r="N552">
        <f t="shared" si="48"/>
        <v>1800</v>
      </c>
      <c r="O552">
        <f t="shared" si="49"/>
        <v>1764</v>
      </c>
      <c r="P552" s="1">
        <f t="shared" si="50"/>
        <v>39.200000000000003</v>
      </c>
      <c r="Q552" s="1">
        <f t="shared" si="51"/>
        <v>0.94247779607693793</v>
      </c>
      <c r="R552" s="1">
        <f t="shared" si="52"/>
        <v>185.52675415774522</v>
      </c>
      <c r="S552" s="1">
        <f t="shared" si="53"/>
        <v>0.52675415774521639</v>
      </c>
    </row>
    <row r="553" spans="1:19" x14ac:dyDescent="0.35">
      <c r="A553">
        <v>552</v>
      </c>
      <c r="B553" t="s">
        <v>38</v>
      </c>
      <c r="C553">
        <v>400</v>
      </c>
      <c r="D553" t="s">
        <v>13</v>
      </c>
      <c r="E553">
        <v>60</v>
      </c>
      <c r="F553">
        <v>10</v>
      </c>
      <c r="G553">
        <v>885</v>
      </c>
      <c r="H553">
        <v>373</v>
      </c>
      <c r="I553">
        <v>215</v>
      </c>
      <c r="J553">
        <v>4</v>
      </c>
      <c r="K553" t="s">
        <v>14</v>
      </c>
      <c r="L553" t="s">
        <v>39</v>
      </c>
      <c r="M553">
        <v>3</v>
      </c>
      <c r="N553">
        <f t="shared" si="48"/>
        <v>1800</v>
      </c>
      <c r="O553">
        <f t="shared" si="49"/>
        <v>1764</v>
      </c>
      <c r="P553" s="1">
        <f t="shared" si="50"/>
        <v>8.2046511627906984</v>
      </c>
      <c r="Q553" s="1">
        <f t="shared" si="51"/>
        <v>4.5029494701453698</v>
      </c>
      <c r="R553" s="1">
        <f t="shared" si="52"/>
        <v>886.40560319811607</v>
      </c>
      <c r="S553" s="1">
        <f t="shared" si="53"/>
        <v>1.4056031981160686</v>
      </c>
    </row>
    <row r="554" spans="1:19" x14ac:dyDescent="0.35">
      <c r="A554">
        <v>553</v>
      </c>
      <c r="B554" t="s">
        <v>38</v>
      </c>
      <c r="C554">
        <v>400</v>
      </c>
      <c r="D554" t="s">
        <v>13</v>
      </c>
      <c r="E554">
        <v>60</v>
      </c>
      <c r="F554">
        <v>10</v>
      </c>
      <c r="G554">
        <v>639</v>
      </c>
      <c r="H554">
        <v>517</v>
      </c>
      <c r="I554">
        <v>155</v>
      </c>
      <c r="J554">
        <v>4</v>
      </c>
      <c r="K554" t="s">
        <v>14</v>
      </c>
      <c r="L554" t="s">
        <v>39</v>
      </c>
      <c r="M554">
        <v>3</v>
      </c>
      <c r="N554">
        <f t="shared" si="48"/>
        <v>1800</v>
      </c>
      <c r="O554">
        <f t="shared" si="49"/>
        <v>1764</v>
      </c>
      <c r="P554" s="1">
        <f t="shared" si="50"/>
        <v>11.380645161290323</v>
      </c>
      <c r="Q554" s="1">
        <f t="shared" si="51"/>
        <v>3.246312408709453</v>
      </c>
      <c r="R554" s="1">
        <f t="shared" si="52"/>
        <v>639.03659765445582</v>
      </c>
      <c r="S554" s="1">
        <f t="shared" si="53"/>
        <v>3.6597654455817974E-2</v>
      </c>
    </row>
    <row r="555" spans="1:19" x14ac:dyDescent="0.35">
      <c r="A555">
        <v>554</v>
      </c>
      <c r="B555" t="s">
        <v>38</v>
      </c>
      <c r="C555">
        <v>400</v>
      </c>
      <c r="D555" t="s">
        <v>13</v>
      </c>
      <c r="E555">
        <v>60</v>
      </c>
      <c r="F555">
        <v>10</v>
      </c>
      <c r="G555">
        <v>591</v>
      </c>
      <c r="H555">
        <v>559</v>
      </c>
      <c r="I555">
        <v>143</v>
      </c>
      <c r="J555">
        <v>4</v>
      </c>
      <c r="K555" t="s">
        <v>14</v>
      </c>
      <c r="L555" t="s">
        <v>39</v>
      </c>
      <c r="M555">
        <v>3</v>
      </c>
      <c r="N555">
        <f t="shared" si="48"/>
        <v>1800</v>
      </c>
      <c r="O555">
        <f t="shared" si="49"/>
        <v>1764</v>
      </c>
      <c r="P555" s="1">
        <f t="shared" si="50"/>
        <v>12.335664335664335</v>
      </c>
      <c r="Q555" s="1">
        <f t="shared" si="51"/>
        <v>2.9949849964222697</v>
      </c>
      <c r="R555" s="1">
        <f t="shared" si="52"/>
        <v>589.56279654572381</v>
      </c>
      <c r="S555" s="1">
        <f t="shared" si="53"/>
        <v>-1.4372034542761867</v>
      </c>
    </row>
    <row r="556" spans="1:19" x14ac:dyDescent="0.35">
      <c r="A556">
        <v>555</v>
      </c>
      <c r="B556" t="s">
        <v>38</v>
      </c>
      <c r="C556">
        <v>400</v>
      </c>
      <c r="D556" t="s">
        <v>13</v>
      </c>
      <c r="E556">
        <v>60</v>
      </c>
      <c r="F556">
        <v>10</v>
      </c>
      <c r="G556">
        <v>534</v>
      </c>
      <c r="H556">
        <v>619</v>
      </c>
      <c r="I556">
        <v>130</v>
      </c>
      <c r="J556">
        <v>4</v>
      </c>
      <c r="K556" t="s">
        <v>14</v>
      </c>
      <c r="L556" t="s">
        <v>39</v>
      </c>
      <c r="M556">
        <v>3</v>
      </c>
      <c r="N556">
        <f t="shared" si="48"/>
        <v>1800</v>
      </c>
      <c r="O556">
        <f t="shared" si="49"/>
        <v>1764</v>
      </c>
      <c r="P556" s="1">
        <f t="shared" si="50"/>
        <v>13.569230769230769</v>
      </c>
      <c r="Q556" s="1">
        <f t="shared" si="51"/>
        <v>2.7227136331111539</v>
      </c>
      <c r="R556" s="1">
        <f t="shared" si="52"/>
        <v>535.96617867793066</v>
      </c>
      <c r="S556" s="1">
        <f t="shared" si="53"/>
        <v>1.9661786779306567</v>
      </c>
    </row>
    <row r="557" spans="1:19" x14ac:dyDescent="0.35">
      <c r="A557">
        <v>556</v>
      </c>
      <c r="B557" t="s">
        <v>38</v>
      </c>
      <c r="C557">
        <v>400</v>
      </c>
      <c r="D557" t="s">
        <v>13</v>
      </c>
      <c r="E557">
        <v>60</v>
      </c>
      <c r="F557">
        <v>10</v>
      </c>
      <c r="G557">
        <v>501</v>
      </c>
      <c r="H557">
        <v>660</v>
      </c>
      <c r="I557">
        <v>122</v>
      </c>
      <c r="J557">
        <v>4</v>
      </c>
      <c r="K557" t="s">
        <v>14</v>
      </c>
      <c r="L557" t="s">
        <v>39</v>
      </c>
      <c r="M557">
        <v>3</v>
      </c>
      <c r="N557">
        <f t="shared" si="48"/>
        <v>1800</v>
      </c>
      <c r="O557">
        <f t="shared" si="49"/>
        <v>1764</v>
      </c>
      <c r="P557" s="1">
        <f t="shared" si="50"/>
        <v>14.459016393442623</v>
      </c>
      <c r="Q557" s="1">
        <f t="shared" si="51"/>
        <v>2.5551620249196985</v>
      </c>
      <c r="R557" s="1">
        <f t="shared" si="52"/>
        <v>502.98364460544263</v>
      </c>
      <c r="S557" s="1">
        <f t="shared" si="53"/>
        <v>1.9836446054426347</v>
      </c>
    </row>
    <row r="558" spans="1:19" x14ac:dyDescent="0.35">
      <c r="A558">
        <v>557</v>
      </c>
      <c r="B558" t="s">
        <v>38</v>
      </c>
      <c r="C558">
        <v>400</v>
      </c>
      <c r="D558" t="s">
        <v>13</v>
      </c>
      <c r="E558">
        <v>60</v>
      </c>
      <c r="F558">
        <v>10</v>
      </c>
      <c r="G558">
        <v>420</v>
      </c>
      <c r="H558">
        <v>787</v>
      </c>
      <c r="I558">
        <v>102</v>
      </c>
      <c r="J558">
        <v>4</v>
      </c>
      <c r="K558" t="s">
        <v>14</v>
      </c>
      <c r="L558" t="s">
        <v>39</v>
      </c>
      <c r="M558">
        <v>3</v>
      </c>
      <c r="N558">
        <f t="shared" si="48"/>
        <v>1800</v>
      </c>
      <c r="O558">
        <f t="shared" si="49"/>
        <v>1764</v>
      </c>
      <c r="P558" s="1">
        <f t="shared" si="50"/>
        <v>17.294117647058822</v>
      </c>
      <c r="Q558" s="1">
        <f t="shared" si="51"/>
        <v>2.1362830044410592</v>
      </c>
      <c r="R558" s="1">
        <f t="shared" si="52"/>
        <v>420.52730942422249</v>
      </c>
      <c r="S558" s="1">
        <f t="shared" si="53"/>
        <v>0.52730942422249427</v>
      </c>
    </row>
    <row r="559" spans="1:19" x14ac:dyDescent="0.35">
      <c r="A559">
        <v>558</v>
      </c>
      <c r="B559" t="s">
        <v>38</v>
      </c>
      <c r="C559">
        <v>400</v>
      </c>
      <c r="D559" t="s">
        <v>13</v>
      </c>
      <c r="E559">
        <v>60</v>
      </c>
      <c r="F559">
        <v>10</v>
      </c>
      <c r="G559">
        <v>386</v>
      </c>
      <c r="H559">
        <v>856</v>
      </c>
      <c r="I559">
        <v>94</v>
      </c>
      <c r="J559">
        <v>4</v>
      </c>
      <c r="K559" t="s">
        <v>14</v>
      </c>
      <c r="L559" t="s">
        <v>39</v>
      </c>
      <c r="M559">
        <v>3</v>
      </c>
      <c r="N559">
        <f t="shared" si="48"/>
        <v>1800</v>
      </c>
      <c r="O559">
        <f t="shared" si="49"/>
        <v>1764</v>
      </c>
      <c r="P559" s="1">
        <f t="shared" si="50"/>
        <v>18.76595744680851</v>
      </c>
      <c r="Q559" s="1">
        <f t="shared" si="51"/>
        <v>1.9687313962496038</v>
      </c>
      <c r="R559" s="1">
        <f t="shared" si="52"/>
        <v>387.54477535173447</v>
      </c>
      <c r="S559" s="1">
        <f t="shared" si="53"/>
        <v>1.5447753517344722</v>
      </c>
    </row>
    <row r="560" spans="1:19" x14ac:dyDescent="0.35">
      <c r="A560">
        <v>559</v>
      </c>
      <c r="B560" t="s">
        <v>38</v>
      </c>
      <c r="C560">
        <v>400</v>
      </c>
      <c r="D560" t="s">
        <v>13</v>
      </c>
      <c r="E560">
        <v>60</v>
      </c>
      <c r="F560">
        <v>10</v>
      </c>
      <c r="G560">
        <v>354</v>
      </c>
      <c r="H560">
        <v>933</v>
      </c>
      <c r="I560">
        <v>86</v>
      </c>
      <c r="J560">
        <v>4</v>
      </c>
      <c r="K560" t="s">
        <v>14</v>
      </c>
      <c r="L560" t="s">
        <v>39</v>
      </c>
      <c r="M560">
        <v>3</v>
      </c>
      <c r="N560">
        <f t="shared" si="48"/>
        <v>1800</v>
      </c>
      <c r="O560">
        <f t="shared" si="49"/>
        <v>1764</v>
      </c>
      <c r="P560" s="1">
        <f t="shared" si="50"/>
        <v>20.511627906976745</v>
      </c>
      <c r="Q560" s="1">
        <f t="shared" si="51"/>
        <v>1.8011797880581479</v>
      </c>
      <c r="R560" s="1">
        <f t="shared" si="52"/>
        <v>354.56224127924639</v>
      </c>
      <c r="S560" s="1">
        <f t="shared" si="53"/>
        <v>0.56224127924639333</v>
      </c>
    </row>
    <row r="561" spans="1:19" x14ac:dyDescent="0.35">
      <c r="A561">
        <v>560</v>
      </c>
      <c r="B561" t="s">
        <v>38</v>
      </c>
      <c r="C561">
        <v>400</v>
      </c>
      <c r="D561" t="s">
        <v>13</v>
      </c>
      <c r="E561">
        <v>60</v>
      </c>
      <c r="F561">
        <v>10</v>
      </c>
      <c r="G561">
        <v>306</v>
      </c>
      <c r="H561">
        <v>1080</v>
      </c>
      <c r="I561">
        <v>74</v>
      </c>
      <c r="J561">
        <v>4</v>
      </c>
      <c r="K561" t="s">
        <v>14</v>
      </c>
      <c r="L561" t="s">
        <v>39</v>
      </c>
      <c r="M561">
        <v>3</v>
      </c>
      <c r="N561">
        <f t="shared" si="48"/>
        <v>1800</v>
      </c>
      <c r="O561">
        <f t="shared" si="49"/>
        <v>1764</v>
      </c>
      <c r="P561" s="1">
        <f t="shared" si="50"/>
        <v>23.837837837837839</v>
      </c>
      <c r="Q561" s="1">
        <f t="shared" si="51"/>
        <v>1.5498523757709648</v>
      </c>
      <c r="R561" s="1">
        <f t="shared" si="52"/>
        <v>305.08844017051439</v>
      </c>
      <c r="S561" s="1">
        <f t="shared" si="53"/>
        <v>-0.91155982948561132</v>
      </c>
    </row>
    <row r="562" spans="1:19" x14ac:dyDescent="0.35">
      <c r="A562">
        <v>561</v>
      </c>
      <c r="B562" t="s">
        <v>38</v>
      </c>
      <c r="C562">
        <v>400</v>
      </c>
      <c r="D562" t="s">
        <v>13</v>
      </c>
      <c r="E562">
        <v>60</v>
      </c>
      <c r="F562">
        <v>10</v>
      </c>
      <c r="G562">
        <v>254</v>
      </c>
      <c r="H562">
        <v>1300</v>
      </c>
      <c r="I562">
        <v>62</v>
      </c>
      <c r="J562">
        <v>4</v>
      </c>
      <c r="K562" t="s">
        <v>14</v>
      </c>
      <c r="L562" t="s">
        <v>39</v>
      </c>
      <c r="M562">
        <v>3</v>
      </c>
      <c r="N562">
        <f t="shared" si="48"/>
        <v>1800</v>
      </c>
      <c r="O562">
        <f t="shared" si="49"/>
        <v>1764</v>
      </c>
      <c r="P562" s="1">
        <f t="shared" si="50"/>
        <v>28.451612903225808</v>
      </c>
      <c r="Q562" s="1">
        <f t="shared" si="51"/>
        <v>1.2985249634837812</v>
      </c>
      <c r="R562" s="1">
        <f t="shared" si="52"/>
        <v>255.61463906178233</v>
      </c>
      <c r="S562" s="1">
        <f t="shared" si="53"/>
        <v>1.6146390617823272</v>
      </c>
    </row>
    <row r="563" spans="1:19" x14ac:dyDescent="0.35">
      <c r="A563">
        <v>562</v>
      </c>
      <c r="B563" t="s">
        <v>38</v>
      </c>
      <c r="C563">
        <v>400</v>
      </c>
      <c r="D563" t="s">
        <v>13</v>
      </c>
      <c r="E563">
        <v>60</v>
      </c>
      <c r="F563">
        <v>10</v>
      </c>
      <c r="G563">
        <v>214</v>
      </c>
      <c r="H563">
        <v>1547</v>
      </c>
      <c r="I563">
        <v>52</v>
      </c>
      <c r="J563">
        <v>4</v>
      </c>
      <c r="K563" t="s">
        <v>14</v>
      </c>
      <c r="L563" t="s">
        <v>39</v>
      </c>
      <c r="M563">
        <v>3</v>
      </c>
      <c r="N563">
        <f t="shared" si="48"/>
        <v>1800</v>
      </c>
      <c r="O563">
        <f t="shared" si="49"/>
        <v>1764</v>
      </c>
      <c r="P563" s="1">
        <f t="shared" si="50"/>
        <v>33.92307692307692</v>
      </c>
      <c r="Q563" s="1">
        <f t="shared" si="51"/>
        <v>1.0890854532444618</v>
      </c>
      <c r="R563" s="1">
        <f t="shared" si="52"/>
        <v>214.38647147117231</v>
      </c>
      <c r="S563" s="1">
        <f t="shared" si="53"/>
        <v>0.38647147117231384</v>
      </c>
    </row>
    <row r="564" spans="1:19" x14ac:dyDescent="0.35">
      <c r="A564">
        <v>563</v>
      </c>
      <c r="B564" t="s">
        <v>38</v>
      </c>
      <c r="C564">
        <v>400</v>
      </c>
      <c r="D564" t="s">
        <v>13</v>
      </c>
      <c r="E564">
        <v>60</v>
      </c>
      <c r="F564">
        <v>10</v>
      </c>
      <c r="G564">
        <v>185</v>
      </c>
      <c r="H564">
        <v>1790</v>
      </c>
      <c r="I564">
        <v>45</v>
      </c>
      <c r="J564">
        <v>4</v>
      </c>
      <c r="K564" t="s">
        <v>14</v>
      </c>
      <c r="L564" t="s">
        <v>39</v>
      </c>
      <c r="M564">
        <v>3</v>
      </c>
      <c r="N564">
        <f t="shared" si="48"/>
        <v>1800</v>
      </c>
      <c r="O564">
        <f t="shared" si="49"/>
        <v>1764</v>
      </c>
      <c r="P564" s="1">
        <f t="shared" si="50"/>
        <v>39.200000000000003</v>
      </c>
      <c r="Q564" s="1">
        <f t="shared" si="51"/>
        <v>0.94247779607693793</v>
      </c>
      <c r="R564" s="1">
        <f t="shared" si="52"/>
        <v>185.52675415774522</v>
      </c>
      <c r="S564" s="1">
        <f t="shared" si="53"/>
        <v>0.52675415774521639</v>
      </c>
    </row>
    <row r="565" spans="1:19" x14ac:dyDescent="0.35">
      <c r="A565">
        <v>564</v>
      </c>
      <c r="B565" t="s">
        <v>38</v>
      </c>
      <c r="C565">
        <v>400</v>
      </c>
      <c r="D565" t="s">
        <v>13</v>
      </c>
      <c r="E565">
        <v>60</v>
      </c>
      <c r="F565">
        <v>10</v>
      </c>
      <c r="G565">
        <v>153</v>
      </c>
      <c r="H565">
        <v>2155</v>
      </c>
      <c r="I565">
        <v>37</v>
      </c>
      <c r="J565">
        <v>4</v>
      </c>
      <c r="K565" t="s">
        <v>14</v>
      </c>
      <c r="L565" t="s">
        <v>39</v>
      </c>
      <c r="M565">
        <v>3</v>
      </c>
      <c r="N565">
        <f t="shared" si="48"/>
        <v>1800</v>
      </c>
      <c r="O565">
        <f t="shared" si="49"/>
        <v>1764</v>
      </c>
      <c r="P565" s="1">
        <f t="shared" si="50"/>
        <v>47.675675675675677</v>
      </c>
      <c r="Q565" s="1">
        <f t="shared" si="51"/>
        <v>0.7749261878854824</v>
      </c>
      <c r="R565" s="1">
        <f t="shared" si="52"/>
        <v>152.54422008525719</v>
      </c>
      <c r="S565" s="1">
        <f t="shared" si="53"/>
        <v>-0.45577991474280566</v>
      </c>
    </row>
    <row r="566" spans="1:19" x14ac:dyDescent="0.35">
      <c r="A566">
        <v>565</v>
      </c>
      <c r="B566" t="s">
        <v>38</v>
      </c>
      <c r="C566">
        <v>400</v>
      </c>
      <c r="D566" t="s">
        <v>13</v>
      </c>
      <c r="E566">
        <v>60</v>
      </c>
      <c r="F566">
        <v>7.5</v>
      </c>
      <c r="G566">
        <v>534</v>
      </c>
      <c r="H566">
        <v>464</v>
      </c>
      <c r="I566">
        <v>130</v>
      </c>
      <c r="J566">
        <v>4</v>
      </c>
      <c r="K566" t="s">
        <v>14</v>
      </c>
      <c r="L566" t="s">
        <v>39</v>
      </c>
      <c r="M566">
        <v>3</v>
      </c>
      <c r="N566">
        <f t="shared" si="48"/>
        <v>1800</v>
      </c>
      <c r="O566">
        <f t="shared" si="49"/>
        <v>1764</v>
      </c>
      <c r="P566" s="1">
        <f t="shared" si="50"/>
        <v>13.569230769230769</v>
      </c>
      <c r="Q566" s="1">
        <f t="shared" si="51"/>
        <v>2.7227136331111539</v>
      </c>
      <c r="R566" s="1">
        <f t="shared" si="52"/>
        <v>535.96617867793066</v>
      </c>
      <c r="S566" s="1">
        <f t="shared" si="53"/>
        <v>1.9661786779306567</v>
      </c>
    </row>
    <row r="567" spans="1:19" x14ac:dyDescent="0.35">
      <c r="A567">
        <v>566</v>
      </c>
      <c r="B567" t="s">
        <v>38</v>
      </c>
      <c r="C567">
        <v>400</v>
      </c>
      <c r="D567" t="s">
        <v>13</v>
      </c>
      <c r="E567">
        <v>60</v>
      </c>
      <c r="F567">
        <v>7.5</v>
      </c>
      <c r="G567">
        <v>386</v>
      </c>
      <c r="H567">
        <v>642</v>
      </c>
      <c r="I567">
        <v>94</v>
      </c>
      <c r="J567">
        <v>4</v>
      </c>
      <c r="K567" t="s">
        <v>14</v>
      </c>
      <c r="L567" t="s">
        <v>39</v>
      </c>
      <c r="M567">
        <v>3</v>
      </c>
      <c r="N567">
        <f t="shared" si="48"/>
        <v>1800</v>
      </c>
      <c r="O567">
        <f t="shared" si="49"/>
        <v>1764</v>
      </c>
      <c r="P567" s="1">
        <f t="shared" si="50"/>
        <v>18.76595744680851</v>
      </c>
      <c r="Q567" s="1">
        <f t="shared" si="51"/>
        <v>1.9687313962496038</v>
      </c>
      <c r="R567" s="1">
        <f t="shared" si="52"/>
        <v>387.54477535173447</v>
      </c>
      <c r="S567" s="1">
        <f t="shared" si="53"/>
        <v>1.5447753517344722</v>
      </c>
    </row>
    <row r="568" spans="1:19" x14ac:dyDescent="0.35">
      <c r="A568">
        <v>567</v>
      </c>
      <c r="B568" t="s">
        <v>38</v>
      </c>
      <c r="C568">
        <v>400</v>
      </c>
      <c r="D568" t="s">
        <v>13</v>
      </c>
      <c r="E568">
        <v>60</v>
      </c>
      <c r="F568">
        <v>7.5</v>
      </c>
      <c r="G568">
        <v>302</v>
      </c>
      <c r="H568">
        <v>821</v>
      </c>
      <c r="I568">
        <v>73</v>
      </c>
      <c r="J568">
        <v>4</v>
      </c>
      <c r="K568" t="s">
        <v>14</v>
      </c>
      <c r="L568" t="s">
        <v>39</v>
      </c>
      <c r="M568">
        <v>3</v>
      </c>
      <c r="N568">
        <f t="shared" si="48"/>
        <v>1800</v>
      </c>
      <c r="O568">
        <f t="shared" si="49"/>
        <v>1764</v>
      </c>
      <c r="P568" s="1">
        <f t="shared" si="50"/>
        <v>24.164383561643834</v>
      </c>
      <c r="Q568" s="1">
        <f t="shared" si="51"/>
        <v>1.5289084247470326</v>
      </c>
      <c r="R568" s="1">
        <f t="shared" si="52"/>
        <v>300.96562341145335</v>
      </c>
      <c r="S568" s="1">
        <f t="shared" si="53"/>
        <v>-1.0343765885466496</v>
      </c>
    </row>
    <row r="569" spans="1:19" x14ac:dyDescent="0.35">
      <c r="A569">
        <v>568</v>
      </c>
      <c r="B569" t="s">
        <v>38</v>
      </c>
      <c r="C569">
        <v>400</v>
      </c>
      <c r="D569" t="s">
        <v>13</v>
      </c>
      <c r="E569">
        <v>60</v>
      </c>
      <c r="F569">
        <v>7.5</v>
      </c>
      <c r="G569">
        <v>228</v>
      </c>
      <c r="H569">
        <v>1088</v>
      </c>
      <c r="I569">
        <v>55</v>
      </c>
      <c r="J569">
        <v>4</v>
      </c>
      <c r="K569" t="s">
        <v>14</v>
      </c>
      <c r="L569" t="s">
        <v>39</v>
      </c>
      <c r="M569">
        <v>3</v>
      </c>
      <c r="N569">
        <f t="shared" si="48"/>
        <v>1800</v>
      </c>
      <c r="O569">
        <f t="shared" si="49"/>
        <v>1764</v>
      </c>
      <c r="P569" s="1">
        <f t="shared" si="50"/>
        <v>32.072727272727271</v>
      </c>
      <c r="Q569" s="1">
        <f t="shared" si="51"/>
        <v>1.1519173063162575</v>
      </c>
      <c r="R569" s="1">
        <f t="shared" si="52"/>
        <v>226.75492174835529</v>
      </c>
      <c r="S569" s="1">
        <f t="shared" si="53"/>
        <v>-1.2450782516447134</v>
      </c>
    </row>
    <row r="570" spans="1:19" x14ac:dyDescent="0.35">
      <c r="A570">
        <v>569</v>
      </c>
      <c r="B570" t="s">
        <v>38</v>
      </c>
      <c r="C570">
        <v>400</v>
      </c>
      <c r="D570" t="s">
        <v>13</v>
      </c>
      <c r="E570">
        <v>60</v>
      </c>
      <c r="F570">
        <v>7.5</v>
      </c>
      <c r="G570">
        <v>214</v>
      </c>
      <c r="H570">
        <v>1160</v>
      </c>
      <c r="I570">
        <v>52</v>
      </c>
      <c r="J570">
        <v>4</v>
      </c>
      <c r="K570" t="s">
        <v>14</v>
      </c>
      <c r="L570" t="s">
        <v>39</v>
      </c>
      <c r="M570">
        <v>3</v>
      </c>
      <c r="N570">
        <f t="shared" si="48"/>
        <v>1800</v>
      </c>
      <c r="O570">
        <f t="shared" si="49"/>
        <v>1764</v>
      </c>
      <c r="P570" s="1">
        <f t="shared" si="50"/>
        <v>33.92307692307692</v>
      </c>
      <c r="Q570" s="1">
        <f t="shared" si="51"/>
        <v>1.0890854532444618</v>
      </c>
      <c r="R570" s="1">
        <f t="shared" si="52"/>
        <v>214.38647147117231</v>
      </c>
      <c r="S570" s="1">
        <f t="shared" si="53"/>
        <v>0.38647147117231384</v>
      </c>
    </row>
    <row r="571" spans="1:19" x14ac:dyDescent="0.35">
      <c r="A571">
        <v>570</v>
      </c>
      <c r="B571" t="s">
        <v>38</v>
      </c>
      <c r="C571">
        <v>400</v>
      </c>
      <c r="D571" t="s">
        <v>13</v>
      </c>
      <c r="E571">
        <v>60</v>
      </c>
      <c r="F571">
        <v>7.5</v>
      </c>
      <c r="G571">
        <v>185</v>
      </c>
      <c r="H571">
        <v>1343</v>
      </c>
      <c r="I571">
        <v>45</v>
      </c>
      <c r="J571">
        <v>4</v>
      </c>
      <c r="K571" t="s">
        <v>14</v>
      </c>
      <c r="L571" t="s">
        <v>39</v>
      </c>
      <c r="M571">
        <v>3</v>
      </c>
      <c r="N571">
        <f t="shared" si="48"/>
        <v>1800</v>
      </c>
      <c r="O571">
        <f t="shared" si="49"/>
        <v>1764</v>
      </c>
      <c r="P571" s="1">
        <f t="shared" si="50"/>
        <v>39.200000000000003</v>
      </c>
      <c r="Q571" s="1">
        <f t="shared" si="51"/>
        <v>0.94247779607693793</v>
      </c>
      <c r="R571" s="1">
        <f t="shared" si="52"/>
        <v>185.52675415774522</v>
      </c>
      <c r="S571" s="1">
        <f t="shared" si="53"/>
        <v>0.52675415774521639</v>
      </c>
    </row>
    <row r="572" spans="1:19" x14ac:dyDescent="0.35">
      <c r="A572">
        <v>571</v>
      </c>
      <c r="B572" t="s">
        <v>38</v>
      </c>
      <c r="C572">
        <v>400</v>
      </c>
      <c r="D572" t="s">
        <v>13</v>
      </c>
      <c r="E572">
        <v>60</v>
      </c>
      <c r="F572">
        <v>7.5</v>
      </c>
      <c r="G572">
        <v>153</v>
      </c>
      <c r="H572">
        <v>1616</v>
      </c>
      <c r="I572">
        <v>37</v>
      </c>
      <c r="J572">
        <v>4</v>
      </c>
      <c r="K572" t="s">
        <v>14</v>
      </c>
      <c r="L572" t="s">
        <v>39</v>
      </c>
      <c r="M572">
        <v>3</v>
      </c>
      <c r="N572">
        <f t="shared" si="48"/>
        <v>1800</v>
      </c>
      <c r="O572">
        <f t="shared" si="49"/>
        <v>1764</v>
      </c>
      <c r="P572" s="1">
        <f t="shared" si="50"/>
        <v>47.675675675675677</v>
      </c>
      <c r="Q572" s="1">
        <f t="shared" si="51"/>
        <v>0.7749261878854824</v>
      </c>
      <c r="R572" s="1">
        <f t="shared" si="52"/>
        <v>152.54422008525719</v>
      </c>
      <c r="S572" s="1">
        <f t="shared" si="53"/>
        <v>-0.45577991474280566</v>
      </c>
    </row>
    <row r="573" spans="1:19" x14ac:dyDescent="0.35">
      <c r="A573">
        <v>572</v>
      </c>
      <c r="B573" t="s">
        <v>38</v>
      </c>
      <c r="C573">
        <v>400</v>
      </c>
      <c r="D573" t="s">
        <v>13</v>
      </c>
      <c r="E573">
        <v>60</v>
      </c>
      <c r="F573">
        <v>7.5</v>
      </c>
      <c r="G573">
        <v>356</v>
      </c>
      <c r="H573">
        <v>696</v>
      </c>
      <c r="I573">
        <v>86</v>
      </c>
      <c r="J573">
        <v>6</v>
      </c>
      <c r="K573" t="s">
        <v>14</v>
      </c>
      <c r="L573" t="s">
        <v>39</v>
      </c>
      <c r="M573">
        <v>3</v>
      </c>
      <c r="N573">
        <f t="shared" si="48"/>
        <v>1200</v>
      </c>
      <c r="O573">
        <f t="shared" si="49"/>
        <v>1176</v>
      </c>
      <c r="P573" s="1">
        <f t="shared" si="50"/>
        <v>13.674418604651162</v>
      </c>
      <c r="Q573" s="1">
        <f t="shared" si="51"/>
        <v>1.8011797880581479</v>
      </c>
      <c r="R573" s="1">
        <f t="shared" si="52"/>
        <v>354.56224127924639</v>
      </c>
      <c r="S573" s="1">
        <f t="shared" si="53"/>
        <v>-1.4377587207536067</v>
      </c>
    </row>
    <row r="574" spans="1:19" x14ac:dyDescent="0.35">
      <c r="A574">
        <v>573</v>
      </c>
      <c r="B574" t="s">
        <v>38</v>
      </c>
      <c r="C574">
        <v>400</v>
      </c>
      <c r="D574" t="s">
        <v>13</v>
      </c>
      <c r="E574">
        <v>60</v>
      </c>
      <c r="F574">
        <v>7.5</v>
      </c>
      <c r="G574">
        <v>257</v>
      </c>
      <c r="H574">
        <v>964</v>
      </c>
      <c r="I574">
        <v>62</v>
      </c>
      <c r="J574">
        <v>6</v>
      </c>
      <c r="K574" t="s">
        <v>14</v>
      </c>
      <c r="L574" t="s">
        <v>39</v>
      </c>
      <c r="M574">
        <v>3</v>
      </c>
      <c r="N574">
        <f t="shared" si="48"/>
        <v>1200</v>
      </c>
      <c r="O574">
        <f t="shared" si="49"/>
        <v>1176</v>
      </c>
      <c r="P574" s="1">
        <f t="shared" si="50"/>
        <v>18.967741935483872</v>
      </c>
      <c r="Q574" s="1">
        <f t="shared" si="51"/>
        <v>1.2985249634837812</v>
      </c>
      <c r="R574" s="1">
        <f t="shared" si="52"/>
        <v>255.61463906178233</v>
      </c>
      <c r="S574" s="1">
        <f t="shared" si="53"/>
        <v>-1.3853609382176728</v>
      </c>
    </row>
    <row r="575" spans="1:19" x14ac:dyDescent="0.35">
      <c r="A575">
        <v>574</v>
      </c>
      <c r="B575" t="s">
        <v>38</v>
      </c>
      <c r="C575">
        <v>400</v>
      </c>
      <c r="D575" t="s">
        <v>13</v>
      </c>
      <c r="E575">
        <v>60</v>
      </c>
      <c r="F575">
        <v>7.5</v>
      </c>
      <c r="G575">
        <v>201</v>
      </c>
      <c r="H575">
        <v>1231</v>
      </c>
      <c r="I575">
        <v>49</v>
      </c>
      <c r="J575">
        <v>6</v>
      </c>
      <c r="K575" t="s">
        <v>14</v>
      </c>
      <c r="L575" t="s">
        <v>39</v>
      </c>
      <c r="M575">
        <v>3</v>
      </c>
      <c r="N575">
        <f t="shared" si="48"/>
        <v>1200</v>
      </c>
      <c r="O575">
        <f t="shared" si="49"/>
        <v>1176</v>
      </c>
      <c r="P575" s="1">
        <f t="shared" si="50"/>
        <v>24</v>
      </c>
      <c r="Q575" s="1">
        <f t="shared" si="51"/>
        <v>1.0262536001726656</v>
      </c>
      <c r="R575" s="1">
        <f t="shared" si="52"/>
        <v>202.01802119398923</v>
      </c>
      <c r="S575" s="1">
        <f t="shared" si="53"/>
        <v>1.0180211939892274</v>
      </c>
    </row>
    <row r="576" spans="1:19" x14ac:dyDescent="0.35">
      <c r="A576">
        <v>575</v>
      </c>
      <c r="B576" t="s">
        <v>38</v>
      </c>
      <c r="C576">
        <v>400</v>
      </c>
      <c r="D576" t="s">
        <v>13</v>
      </c>
      <c r="E576">
        <v>60</v>
      </c>
      <c r="F576">
        <v>7.5</v>
      </c>
      <c r="G576">
        <v>152</v>
      </c>
      <c r="H576">
        <v>1632</v>
      </c>
      <c r="I576">
        <v>37</v>
      </c>
      <c r="J576">
        <v>6</v>
      </c>
      <c r="K576" t="s">
        <v>14</v>
      </c>
      <c r="L576" t="s">
        <v>39</v>
      </c>
      <c r="M576">
        <v>3</v>
      </c>
      <c r="N576">
        <f t="shared" si="48"/>
        <v>1200</v>
      </c>
      <c r="O576">
        <f t="shared" si="49"/>
        <v>1176</v>
      </c>
      <c r="P576" s="1">
        <f t="shared" si="50"/>
        <v>31.783783783783782</v>
      </c>
      <c r="Q576" s="1">
        <f t="shared" si="51"/>
        <v>0.7749261878854824</v>
      </c>
      <c r="R576" s="1">
        <f t="shared" si="52"/>
        <v>152.54422008525719</v>
      </c>
      <c r="S576" s="1">
        <f t="shared" si="53"/>
        <v>0.54422008525719434</v>
      </c>
    </row>
    <row r="577" spans="1:19" x14ac:dyDescent="0.35">
      <c r="A577">
        <v>576</v>
      </c>
      <c r="B577" t="s">
        <v>38</v>
      </c>
      <c r="C577">
        <v>400</v>
      </c>
      <c r="D577" t="s">
        <v>13</v>
      </c>
      <c r="E577">
        <v>60</v>
      </c>
      <c r="F577">
        <v>7.5</v>
      </c>
      <c r="G577">
        <v>142</v>
      </c>
      <c r="H577">
        <v>1741</v>
      </c>
      <c r="I577">
        <v>34</v>
      </c>
      <c r="J577">
        <v>6</v>
      </c>
      <c r="K577" t="s">
        <v>14</v>
      </c>
      <c r="L577" t="s">
        <v>39</v>
      </c>
      <c r="M577">
        <v>3</v>
      </c>
      <c r="N577">
        <f t="shared" si="48"/>
        <v>1200</v>
      </c>
      <c r="O577">
        <f t="shared" si="49"/>
        <v>1176</v>
      </c>
      <c r="P577" s="1">
        <f t="shared" si="50"/>
        <v>34.588235294117645</v>
      </c>
      <c r="Q577" s="1">
        <f t="shared" si="51"/>
        <v>0.71209433481368656</v>
      </c>
      <c r="R577" s="1">
        <f t="shared" si="52"/>
        <v>140.17576980807419</v>
      </c>
      <c r="S577" s="1">
        <f t="shared" si="53"/>
        <v>-1.8242301919258068</v>
      </c>
    </row>
    <row r="578" spans="1:19" x14ac:dyDescent="0.35">
      <c r="A578">
        <v>577</v>
      </c>
      <c r="B578" t="s">
        <v>38</v>
      </c>
      <c r="C578">
        <v>400</v>
      </c>
      <c r="D578" t="s">
        <v>13</v>
      </c>
      <c r="E578">
        <v>60</v>
      </c>
      <c r="F578">
        <v>7.5</v>
      </c>
      <c r="G578">
        <v>123</v>
      </c>
      <c r="H578">
        <v>2014</v>
      </c>
      <c r="I578">
        <v>30</v>
      </c>
      <c r="J578">
        <v>6</v>
      </c>
      <c r="K578" t="s">
        <v>14</v>
      </c>
      <c r="L578" t="s">
        <v>39</v>
      </c>
      <c r="M578">
        <v>3</v>
      </c>
      <c r="N578">
        <f t="shared" si="48"/>
        <v>1200</v>
      </c>
      <c r="O578">
        <f t="shared" si="49"/>
        <v>1176</v>
      </c>
      <c r="P578" s="1">
        <f t="shared" si="50"/>
        <v>39.200000000000003</v>
      </c>
      <c r="Q578" s="1">
        <f t="shared" si="51"/>
        <v>0.62831853071795862</v>
      </c>
      <c r="R578" s="1">
        <f t="shared" si="52"/>
        <v>123.68450277183015</v>
      </c>
      <c r="S578" s="1">
        <f t="shared" si="53"/>
        <v>0.68450277183015373</v>
      </c>
    </row>
    <row r="579" spans="1:19" x14ac:dyDescent="0.35">
      <c r="A579">
        <v>578</v>
      </c>
      <c r="B579" t="s">
        <v>38</v>
      </c>
      <c r="C579">
        <v>400</v>
      </c>
      <c r="D579" t="s">
        <v>13</v>
      </c>
      <c r="E579">
        <v>60</v>
      </c>
      <c r="F579">
        <v>7.5</v>
      </c>
      <c r="G579">
        <v>102</v>
      </c>
      <c r="H579">
        <v>2424</v>
      </c>
      <c r="I579">
        <v>25</v>
      </c>
      <c r="J579">
        <v>6</v>
      </c>
      <c r="K579" t="s">
        <v>14</v>
      </c>
      <c r="L579" t="s">
        <v>39</v>
      </c>
      <c r="M579">
        <v>3</v>
      </c>
      <c r="N579">
        <f t="shared" ref="N579:N642" si="54">60*60*2/J579</f>
        <v>1200</v>
      </c>
      <c r="O579">
        <f t="shared" ref="O579:O642" si="55">N579*(1-0.02)</f>
        <v>1176</v>
      </c>
      <c r="P579" s="1">
        <f t="shared" ref="P579:P642" si="56">O579/I579</f>
        <v>47.04</v>
      </c>
      <c r="Q579" s="1">
        <f t="shared" ref="Q579:Q642" si="57">(I579*2*PI()/60)*(C579/2000)</f>
        <v>0.52359877559829893</v>
      </c>
      <c r="R579" s="1">
        <f t="shared" ref="R579:R642" si="58">Q579*196.85</f>
        <v>103.07041897652515</v>
      </c>
      <c r="S579" s="1">
        <f t="shared" ref="S579:S642" si="59">R579-G579</f>
        <v>1.0704189765251471</v>
      </c>
    </row>
    <row r="580" spans="1:19" x14ac:dyDescent="0.35">
      <c r="A580">
        <v>579</v>
      </c>
      <c r="B580" t="s">
        <v>38</v>
      </c>
      <c r="C580">
        <v>400</v>
      </c>
      <c r="D580" t="s">
        <v>13</v>
      </c>
      <c r="E580">
        <v>60</v>
      </c>
      <c r="F580">
        <v>5.5</v>
      </c>
      <c r="G580">
        <v>534</v>
      </c>
      <c r="H580">
        <v>340</v>
      </c>
      <c r="I580">
        <v>130</v>
      </c>
      <c r="J580">
        <v>4</v>
      </c>
      <c r="K580" t="s">
        <v>14</v>
      </c>
      <c r="L580" t="s">
        <v>39</v>
      </c>
      <c r="M580">
        <v>3</v>
      </c>
      <c r="N580">
        <f t="shared" si="54"/>
        <v>1800</v>
      </c>
      <c r="O580">
        <f t="shared" si="55"/>
        <v>1764</v>
      </c>
      <c r="P580" s="1">
        <f t="shared" si="56"/>
        <v>13.569230769230769</v>
      </c>
      <c r="Q580" s="1">
        <f t="shared" si="57"/>
        <v>2.7227136331111539</v>
      </c>
      <c r="R580" s="1">
        <f t="shared" si="58"/>
        <v>535.96617867793066</v>
      </c>
      <c r="S580" s="1">
        <f t="shared" si="59"/>
        <v>1.9661786779306567</v>
      </c>
    </row>
    <row r="581" spans="1:19" x14ac:dyDescent="0.35">
      <c r="A581">
        <v>580</v>
      </c>
      <c r="B581" t="s">
        <v>38</v>
      </c>
      <c r="C581">
        <v>400</v>
      </c>
      <c r="D581" t="s">
        <v>13</v>
      </c>
      <c r="E581">
        <v>60</v>
      </c>
      <c r="F581">
        <v>5.5</v>
      </c>
      <c r="G581">
        <v>386</v>
      </c>
      <c r="H581">
        <v>471</v>
      </c>
      <c r="I581">
        <v>94</v>
      </c>
      <c r="J581">
        <v>4</v>
      </c>
      <c r="K581" t="s">
        <v>14</v>
      </c>
      <c r="L581" t="s">
        <v>39</v>
      </c>
      <c r="M581">
        <v>3</v>
      </c>
      <c r="N581">
        <f t="shared" si="54"/>
        <v>1800</v>
      </c>
      <c r="O581">
        <f t="shared" si="55"/>
        <v>1764</v>
      </c>
      <c r="P581" s="1">
        <f t="shared" si="56"/>
        <v>18.76595744680851</v>
      </c>
      <c r="Q581" s="1">
        <f t="shared" si="57"/>
        <v>1.9687313962496038</v>
      </c>
      <c r="R581" s="1">
        <f t="shared" si="58"/>
        <v>387.54477535173447</v>
      </c>
      <c r="S581" s="1">
        <f t="shared" si="59"/>
        <v>1.5447753517344722</v>
      </c>
    </row>
    <row r="582" spans="1:19" x14ac:dyDescent="0.35">
      <c r="A582">
        <v>581</v>
      </c>
      <c r="B582" t="s">
        <v>38</v>
      </c>
      <c r="C582">
        <v>400</v>
      </c>
      <c r="D582" t="s">
        <v>13</v>
      </c>
      <c r="E582">
        <v>60</v>
      </c>
      <c r="F582">
        <v>5.5</v>
      </c>
      <c r="G582">
        <v>302</v>
      </c>
      <c r="H582">
        <v>602</v>
      </c>
      <c r="I582">
        <v>73</v>
      </c>
      <c r="J582">
        <v>4</v>
      </c>
      <c r="K582" t="s">
        <v>14</v>
      </c>
      <c r="L582" t="s">
        <v>39</v>
      </c>
      <c r="M582">
        <v>3</v>
      </c>
      <c r="N582">
        <f t="shared" si="54"/>
        <v>1800</v>
      </c>
      <c r="O582">
        <f t="shared" si="55"/>
        <v>1764</v>
      </c>
      <c r="P582" s="1">
        <f t="shared" si="56"/>
        <v>24.164383561643834</v>
      </c>
      <c r="Q582" s="1">
        <f t="shared" si="57"/>
        <v>1.5289084247470326</v>
      </c>
      <c r="R582" s="1">
        <f t="shared" si="58"/>
        <v>300.96562341145335</v>
      </c>
      <c r="S582" s="1">
        <f t="shared" si="59"/>
        <v>-1.0343765885466496</v>
      </c>
    </row>
    <row r="583" spans="1:19" x14ac:dyDescent="0.35">
      <c r="A583">
        <v>582</v>
      </c>
      <c r="B583" t="s">
        <v>38</v>
      </c>
      <c r="C583">
        <v>400</v>
      </c>
      <c r="D583" t="s">
        <v>13</v>
      </c>
      <c r="E583">
        <v>60</v>
      </c>
      <c r="F583">
        <v>5.5</v>
      </c>
      <c r="G583">
        <v>228</v>
      </c>
      <c r="H583">
        <v>798</v>
      </c>
      <c r="I583">
        <v>55</v>
      </c>
      <c r="J583">
        <v>4</v>
      </c>
      <c r="K583" t="s">
        <v>14</v>
      </c>
      <c r="L583" t="s">
        <v>39</v>
      </c>
      <c r="M583">
        <v>3</v>
      </c>
      <c r="N583">
        <f t="shared" si="54"/>
        <v>1800</v>
      </c>
      <c r="O583">
        <f t="shared" si="55"/>
        <v>1764</v>
      </c>
      <c r="P583" s="1">
        <f t="shared" si="56"/>
        <v>32.072727272727271</v>
      </c>
      <c r="Q583" s="1">
        <f t="shared" si="57"/>
        <v>1.1519173063162575</v>
      </c>
      <c r="R583" s="1">
        <f t="shared" si="58"/>
        <v>226.75492174835529</v>
      </c>
      <c r="S583" s="1">
        <f t="shared" si="59"/>
        <v>-1.2450782516447134</v>
      </c>
    </row>
    <row r="584" spans="1:19" x14ac:dyDescent="0.35">
      <c r="A584">
        <v>583</v>
      </c>
      <c r="B584" t="s">
        <v>38</v>
      </c>
      <c r="C584">
        <v>400</v>
      </c>
      <c r="D584" t="s">
        <v>13</v>
      </c>
      <c r="E584">
        <v>60</v>
      </c>
      <c r="F584">
        <v>5.5</v>
      </c>
      <c r="G584">
        <v>214</v>
      </c>
      <c r="H584">
        <v>851</v>
      </c>
      <c r="I584">
        <v>52</v>
      </c>
      <c r="J584">
        <v>4</v>
      </c>
      <c r="K584" t="s">
        <v>14</v>
      </c>
      <c r="L584" t="s">
        <v>39</v>
      </c>
      <c r="M584">
        <v>3</v>
      </c>
      <c r="N584">
        <f t="shared" si="54"/>
        <v>1800</v>
      </c>
      <c r="O584">
        <f t="shared" si="55"/>
        <v>1764</v>
      </c>
      <c r="P584" s="1">
        <f t="shared" si="56"/>
        <v>33.92307692307692</v>
      </c>
      <c r="Q584" s="1">
        <f t="shared" si="57"/>
        <v>1.0890854532444618</v>
      </c>
      <c r="R584" s="1">
        <f t="shared" si="58"/>
        <v>214.38647147117231</v>
      </c>
      <c r="S584" s="1">
        <f t="shared" si="59"/>
        <v>0.38647147117231384</v>
      </c>
    </row>
    <row r="585" spans="1:19" x14ac:dyDescent="0.35">
      <c r="A585">
        <v>584</v>
      </c>
      <c r="B585" t="s">
        <v>38</v>
      </c>
      <c r="C585">
        <v>400</v>
      </c>
      <c r="D585" t="s">
        <v>13</v>
      </c>
      <c r="E585">
        <v>60</v>
      </c>
      <c r="F585">
        <v>5.5</v>
      </c>
      <c r="G585">
        <v>185</v>
      </c>
      <c r="H585">
        <v>985</v>
      </c>
      <c r="I585">
        <v>45</v>
      </c>
      <c r="J585">
        <v>4</v>
      </c>
      <c r="K585" t="s">
        <v>14</v>
      </c>
      <c r="L585" t="s">
        <v>39</v>
      </c>
      <c r="M585">
        <v>3</v>
      </c>
      <c r="N585">
        <f t="shared" si="54"/>
        <v>1800</v>
      </c>
      <c r="O585">
        <f t="shared" si="55"/>
        <v>1764</v>
      </c>
      <c r="P585" s="1">
        <f t="shared" si="56"/>
        <v>39.200000000000003</v>
      </c>
      <c r="Q585" s="1">
        <f t="shared" si="57"/>
        <v>0.94247779607693793</v>
      </c>
      <c r="R585" s="1">
        <f t="shared" si="58"/>
        <v>185.52675415774522</v>
      </c>
      <c r="S585" s="1">
        <f t="shared" si="59"/>
        <v>0.52675415774521639</v>
      </c>
    </row>
    <row r="586" spans="1:19" x14ac:dyDescent="0.35">
      <c r="A586">
        <v>585</v>
      </c>
      <c r="B586" t="s">
        <v>38</v>
      </c>
      <c r="C586">
        <v>400</v>
      </c>
      <c r="D586" t="s">
        <v>13</v>
      </c>
      <c r="E586">
        <v>60</v>
      </c>
      <c r="F586">
        <v>5.5</v>
      </c>
      <c r="G586">
        <v>153</v>
      </c>
      <c r="H586">
        <v>1185</v>
      </c>
      <c r="I586">
        <v>37</v>
      </c>
      <c r="J586">
        <v>4</v>
      </c>
      <c r="K586" t="s">
        <v>14</v>
      </c>
      <c r="L586" t="s">
        <v>39</v>
      </c>
      <c r="M586">
        <v>3</v>
      </c>
      <c r="N586">
        <f t="shared" si="54"/>
        <v>1800</v>
      </c>
      <c r="O586">
        <f t="shared" si="55"/>
        <v>1764</v>
      </c>
      <c r="P586" s="1">
        <f t="shared" si="56"/>
        <v>47.675675675675677</v>
      </c>
      <c r="Q586" s="1">
        <f t="shared" si="57"/>
        <v>0.7749261878854824</v>
      </c>
      <c r="R586" s="1">
        <f t="shared" si="58"/>
        <v>152.54422008525719</v>
      </c>
      <c r="S586" s="1">
        <f t="shared" si="59"/>
        <v>-0.45577991474280566</v>
      </c>
    </row>
    <row r="587" spans="1:19" x14ac:dyDescent="0.35">
      <c r="A587">
        <v>586</v>
      </c>
      <c r="B587" t="s">
        <v>38</v>
      </c>
      <c r="C587">
        <v>400</v>
      </c>
      <c r="D587" t="s">
        <v>13</v>
      </c>
      <c r="E587">
        <v>60</v>
      </c>
      <c r="F587">
        <v>5.5</v>
      </c>
      <c r="G587">
        <v>356</v>
      </c>
      <c r="H587">
        <v>511</v>
      </c>
      <c r="I587">
        <v>86</v>
      </c>
      <c r="J587">
        <v>6</v>
      </c>
      <c r="K587" t="s">
        <v>14</v>
      </c>
      <c r="L587" t="s">
        <v>39</v>
      </c>
      <c r="M587">
        <v>3</v>
      </c>
      <c r="N587">
        <f t="shared" si="54"/>
        <v>1200</v>
      </c>
      <c r="O587">
        <f t="shared" si="55"/>
        <v>1176</v>
      </c>
      <c r="P587" s="1">
        <f t="shared" si="56"/>
        <v>13.674418604651162</v>
      </c>
      <c r="Q587" s="1">
        <f t="shared" si="57"/>
        <v>1.8011797880581479</v>
      </c>
      <c r="R587" s="1">
        <f t="shared" si="58"/>
        <v>354.56224127924639</v>
      </c>
      <c r="S587" s="1">
        <f t="shared" si="59"/>
        <v>-1.4377587207536067</v>
      </c>
    </row>
    <row r="588" spans="1:19" x14ac:dyDescent="0.35">
      <c r="A588">
        <v>587</v>
      </c>
      <c r="B588" t="s">
        <v>38</v>
      </c>
      <c r="C588">
        <v>400</v>
      </c>
      <c r="D588" t="s">
        <v>13</v>
      </c>
      <c r="E588">
        <v>60</v>
      </c>
      <c r="F588">
        <v>5.5</v>
      </c>
      <c r="G588">
        <v>257</v>
      </c>
      <c r="H588">
        <v>707</v>
      </c>
      <c r="I588">
        <v>62</v>
      </c>
      <c r="J588">
        <v>6</v>
      </c>
      <c r="K588" t="s">
        <v>14</v>
      </c>
      <c r="L588" t="s">
        <v>39</v>
      </c>
      <c r="M588">
        <v>3</v>
      </c>
      <c r="N588">
        <f t="shared" si="54"/>
        <v>1200</v>
      </c>
      <c r="O588">
        <f t="shared" si="55"/>
        <v>1176</v>
      </c>
      <c r="P588" s="1">
        <f t="shared" si="56"/>
        <v>18.967741935483872</v>
      </c>
      <c r="Q588" s="1">
        <f t="shared" si="57"/>
        <v>1.2985249634837812</v>
      </c>
      <c r="R588" s="1">
        <f t="shared" si="58"/>
        <v>255.61463906178233</v>
      </c>
      <c r="S588" s="1">
        <f t="shared" si="59"/>
        <v>-1.3853609382176728</v>
      </c>
    </row>
    <row r="589" spans="1:19" x14ac:dyDescent="0.35">
      <c r="A589">
        <v>588</v>
      </c>
      <c r="B589" t="s">
        <v>38</v>
      </c>
      <c r="C589">
        <v>400</v>
      </c>
      <c r="D589" t="s">
        <v>13</v>
      </c>
      <c r="E589">
        <v>60</v>
      </c>
      <c r="F589">
        <v>5.5</v>
      </c>
      <c r="G589">
        <v>201</v>
      </c>
      <c r="H589">
        <v>902</v>
      </c>
      <c r="I589">
        <v>49</v>
      </c>
      <c r="J589">
        <v>6</v>
      </c>
      <c r="K589" t="s">
        <v>14</v>
      </c>
      <c r="L589" t="s">
        <v>39</v>
      </c>
      <c r="M589">
        <v>3</v>
      </c>
      <c r="N589">
        <f t="shared" si="54"/>
        <v>1200</v>
      </c>
      <c r="O589">
        <f t="shared" si="55"/>
        <v>1176</v>
      </c>
      <c r="P589" s="1">
        <f t="shared" si="56"/>
        <v>24</v>
      </c>
      <c r="Q589" s="1">
        <f t="shared" si="57"/>
        <v>1.0262536001726656</v>
      </c>
      <c r="R589" s="1">
        <f t="shared" si="58"/>
        <v>202.01802119398923</v>
      </c>
      <c r="S589" s="1">
        <f t="shared" si="59"/>
        <v>1.0180211939892274</v>
      </c>
    </row>
    <row r="590" spans="1:19" x14ac:dyDescent="0.35">
      <c r="A590">
        <v>589</v>
      </c>
      <c r="B590" t="s">
        <v>38</v>
      </c>
      <c r="C590">
        <v>400</v>
      </c>
      <c r="D590" t="s">
        <v>13</v>
      </c>
      <c r="E590">
        <v>60</v>
      </c>
      <c r="F590">
        <v>5.5</v>
      </c>
      <c r="G590">
        <v>152</v>
      </c>
      <c r="H590">
        <v>1197</v>
      </c>
      <c r="I590">
        <v>37</v>
      </c>
      <c r="J590">
        <v>6</v>
      </c>
      <c r="K590" t="s">
        <v>14</v>
      </c>
      <c r="L590" t="s">
        <v>39</v>
      </c>
      <c r="M590">
        <v>3</v>
      </c>
      <c r="N590">
        <f t="shared" si="54"/>
        <v>1200</v>
      </c>
      <c r="O590">
        <f t="shared" si="55"/>
        <v>1176</v>
      </c>
      <c r="P590" s="1">
        <f t="shared" si="56"/>
        <v>31.783783783783782</v>
      </c>
      <c r="Q590" s="1">
        <f t="shared" si="57"/>
        <v>0.7749261878854824</v>
      </c>
      <c r="R590" s="1">
        <f t="shared" si="58"/>
        <v>152.54422008525719</v>
      </c>
      <c r="S590" s="1">
        <f t="shared" si="59"/>
        <v>0.54422008525719434</v>
      </c>
    </row>
    <row r="591" spans="1:19" x14ac:dyDescent="0.35">
      <c r="A591">
        <v>590</v>
      </c>
      <c r="B591" t="s">
        <v>38</v>
      </c>
      <c r="C591">
        <v>400</v>
      </c>
      <c r="D591" t="s">
        <v>13</v>
      </c>
      <c r="E591">
        <v>60</v>
      </c>
      <c r="F591">
        <v>5.5</v>
      </c>
      <c r="G591">
        <v>142</v>
      </c>
      <c r="H591">
        <v>1276</v>
      </c>
      <c r="I591">
        <v>34</v>
      </c>
      <c r="J591">
        <v>6</v>
      </c>
      <c r="K591" t="s">
        <v>14</v>
      </c>
      <c r="L591" t="s">
        <v>39</v>
      </c>
      <c r="M591">
        <v>3</v>
      </c>
      <c r="N591">
        <f t="shared" si="54"/>
        <v>1200</v>
      </c>
      <c r="O591">
        <f t="shared" si="55"/>
        <v>1176</v>
      </c>
      <c r="P591" s="1">
        <f t="shared" si="56"/>
        <v>34.588235294117645</v>
      </c>
      <c r="Q591" s="1">
        <f t="shared" si="57"/>
        <v>0.71209433481368656</v>
      </c>
      <c r="R591" s="1">
        <f t="shared" si="58"/>
        <v>140.17576980807419</v>
      </c>
      <c r="S591" s="1">
        <f t="shared" si="59"/>
        <v>-1.8242301919258068</v>
      </c>
    </row>
    <row r="592" spans="1:19" x14ac:dyDescent="0.35">
      <c r="A592">
        <v>591</v>
      </c>
      <c r="B592" t="s">
        <v>38</v>
      </c>
      <c r="C592">
        <v>400</v>
      </c>
      <c r="D592" t="s">
        <v>13</v>
      </c>
      <c r="E592">
        <v>60</v>
      </c>
      <c r="F592">
        <v>5.5</v>
      </c>
      <c r="G592">
        <v>123</v>
      </c>
      <c r="H592">
        <v>1477</v>
      </c>
      <c r="I592">
        <v>30</v>
      </c>
      <c r="J592">
        <v>6</v>
      </c>
      <c r="K592" t="s">
        <v>14</v>
      </c>
      <c r="L592" t="s">
        <v>39</v>
      </c>
      <c r="M592">
        <v>3</v>
      </c>
      <c r="N592">
        <f t="shared" si="54"/>
        <v>1200</v>
      </c>
      <c r="O592">
        <f t="shared" si="55"/>
        <v>1176</v>
      </c>
      <c r="P592" s="1">
        <f t="shared" si="56"/>
        <v>39.200000000000003</v>
      </c>
      <c r="Q592" s="1">
        <f t="shared" si="57"/>
        <v>0.62831853071795862</v>
      </c>
      <c r="R592" s="1">
        <f t="shared" si="58"/>
        <v>123.68450277183015</v>
      </c>
      <c r="S592" s="1">
        <f t="shared" si="59"/>
        <v>0.68450277183015373</v>
      </c>
    </row>
    <row r="593" spans="1:19" x14ac:dyDescent="0.35">
      <c r="A593">
        <v>592</v>
      </c>
      <c r="B593" t="s">
        <v>38</v>
      </c>
      <c r="C593">
        <v>400</v>
      </c>
      <c r="D593" t="s">
        <v>13</v>
      </c>
      <c r="E593">
        <v>60</v>
      </c>
      <c r="F593">
        <v>5.5</v>
      </c>
      <c r="G593">
        <v>102</v>
      </c>
      <c r="H593">
        <v>1778</v>
      </c>
      <c r="I593">
        <v>25</v>
      </c>
      <c r="J593">
        <v>6</v>
      </c>
      <c r="K593" t="s">
        <v>14</v>
      </c>
      <c r="L593" t="s">
        <v>39</v>
      </c>
      <c r="M593">
        <v>3</v>
      </c>
      <c r="N593">
        <f t="shared" si="54"/>
        <v>1200</v>
      </c>
      <c r="O593">
        <f t="shared" si="55"/>
        <v>1176</v>
      </c>
      <c r="P593" s="1">
        <f t="shared" si="56"/>
        <v>47.04</v>
      </c>
      <c r="Q593" s="1">
        <f t="shared" si="57"/>
        <v>0.52359877559829893</v>
      </c>
      <c r="R593" s="1">
        <f t="shared" si="58"/>
        <v>103.07041897652515</v>
      </c>
      <c r="S593" s="1">
        <f t="shared" si="59"/>
        <v>1.0704189765251471</v>
      </c>
    </row>
    <row r="594" spans="1:19" x14ac:dyDescent="0.35">
      <c r="A594">
        <v>593</v>
      </c>
      <c r="B594" t="s">
        <v>38</v>
      </c>
      <c r="C594">
        <v>400</v>
      </c>
      <c r="D594" t="s">
        <v>13</v>
      </c>
      <c r="E594">
        <v>60</v>
      </c>
      <c r="F594">
        <v>4</v>
      </c>
      <c r="G594">
        <v>534</v>
      </c>
      <c r="H594">
        <v>248</v>
      </c>
      <c r="I594">
        <v>130</v>
      </c>
      <c r="J594">
        <v>4</v>
      </c>
      <c r="K594" t="s">
        <v>14</v>
      </c>
      <c r="L594" t="s">
        <v>39</v>
      </c>
      <c r="M594">
        <v>3</v>
      </c>
      <c r="N594">
        <f t="shared" si="54"/>
        <v>1800</v>
      </c>
      <c r="O594">
        <f t="shared" si="55"/>
        <v>1764</v>
      </c>
      <c r="P594" s="1">
        <f t="shared" si="56"/>
        <v>13.569230769230769</v>
      </c>
      <c r="Q594" s="1">
        <f t="shared" si="57"/>
        <v>2.7227136331111539</v>
      </c>
      <c r="R594" s="1">
        <f t="shared" si="58"/>
        <v>535.96617867793066</v>
      </c>
      <c r="S594" s="1">
        <f t="shared" si="59"/>
        <v>1.9661786779306567</v>
      </c>
    </row>
    <row r="595" spans="1:19" x14ac:dyDescent="0.35">
      <c r="A595">
        <v>594</v>
      </c>
      <c r="B595" t="s">
        <v>38</v>
      </c>
      <c r="C595">
        <v>400</v>
      </c>
      <c r="D595" t="s">
        <v>13</v>
      </c>
      <c r="E595">
        <v>60</v>
      </c>
      <c r="F595">
        <v>4</v>
      </c>
      <c r="G595">
        <v>386</v>
      </c>
      <c r="H595">
        <v>343</v>
      </c>
      <c r="I595">
        <v>94</v>
      </c>
      <c r="J595">
        <v>4</v>
      </c>
      <c r="K595" t="s">
        <v>14</v>
      </c>
      <c r="L595" t="s">
        <v>39</v>
      </c>
      <c r="M595">
        <v>3</v>
      </c>
      <c r="N595">
        <f t="shared" si="54"/>
        <v>1800</v>
      </c>
      <c r="O595">
        <f t="shared" si="55"/>
        <v>1764</v>
      </c>
      <c r="P595" s="1">
        <f t="shared" si="56"/>
        <v>18.76595744680851</v>
      </c>
      <c r="Q595" s="1">
        <f t="shared" si="57"/>
        <v>1.9687313962496038</v>
      </c>
      <c r="R595" s="1">
        <f t="shared" si="58"/>
        <v>387.54477535173447</v>
      </c>
      <c r="S595" s="1">
        <f t="shared" si="59"/>
        <v>1.5447753517344722</v>
      </c>
    </row>
    <row r="596" spans="1:19" x14ac:dyDescent="0.35">
      <c r="A596">
        <v>595</v>
      </c>
      <c r="B596" t="s">
        <v>38</v>
      </c>
      <c r="C596">
        <v>400</v>
      </c>
      <c r="D596" t="s">
        <v>13</v>
      </c>
      <c r="E596">
        <v>60</v>
      </c>
      <c r="F596">
        <v>4</v>
      </c>
      <c r="G596">
        <v>302</v>
      </c>
      <c r="H596">
        <v>438</v>
      </c>
      <c r="I596">
        <v>73</v>
      </c>
      <c r="J596">
        <v>4</v>
      </c>
      <c r="K596" t="s">
        <v>14</v>
      </c>
      <c r="L596" t="s">
        <v>39</v>
      </c>
      <c r="M596">
        <v>3</v>
      </c>
      <c r="N596">
        <f t="shared" si="54"/>
        <v>1800</v>
      </c>
      <c r="O596">
        <f t="shared" si="55"/>
        <v>1764</v>
      </c>
      <c r="P596" s="1">
        <f t="shared" si="56"/>
        <v>24.164383561643834</v>
      </c>
      <c r="Q596" s="1">
        <f t="shared" si="57"/>
        <v>1.5289084247470326</v>
      </c>
      <c r="R596" s="1">
        <f t="shared" si="58"/>
        <v>300.96562341145335</v>
      </c>
      <c r="S596" s="1">
        <f t="shared" si="59"/>
        <v>-1.0343765885466496</v>
      </c>
    </row>
    <row r="597" spans="1:19" x14ac:dyDescent="0.35">
      <c r="A597">
        <v>596</v>
      </c>
      <c r="B597" t="s">
        <v>38</v>
      </c>
      <c r="C597">
        <v>400</v>
      </c>
      <c r="D597" t="s">
        <v>13</v>
      </c>
      <c r="E597">
        <v>60</v>
      </c>
      <c r="F597">
        <v>4</v>
      </c>
      <c r="G597">
        <v>228</v>
      </c>
      <c r="H597">
        <v>580</v>
      </c>
      <c r="I597">
        <v>55</v>
      </c>
      <c r="J597">
        <v>4</v>
      </c>
      <c r="K597" t="s">
        <v>14</v>
      </c>
      <c r="L597" t="s">
        <v>39</v>
      </c>
      <c r="M597">
        <v>3</v>
      </c>
      <c r="N597">
        <f t="shared" si="54"/>
        <v>1800</v>
      </c>
      <c r="O597">
        <f t="shared" si="55"/>
        <v>1764</v>
      </c>
      <c r="P597" s="1">
        <f t="shared" si="56"/>
        <v>32.072727272727271</v>
      </c>
      <c r="Q597" s="1">
        <f t="shared" si="57"/>
        <v>1.1519173063162575</v>
      </c>
      <c r="R597" s="1">
        <f t="shared" si="58"/>
        <v>226.75492174835529</v>
      </c>
      <c r="S597" s="1">
        <f t="shared" si="59"/>
        <v>-1.2450782516447134</v>
      </c>
    </row>
    <row r="598" spans="1:19" x14ac:dyDescent="0.35">
      <c r="A598">
        <v>597</v>
      </c>
      <c r="B598" t="s">
        <v>38</v>
      </c>
      <c r="C598">
        <v>400</v>
      </c>
      <c r="D598" t="s">
        <v>13</v>
      </c>
      <c r="E598">
        <v>60</v>
      </c>
      <c r="F598">
        <v>4</v>
      </c>
      <c r="G598">
        <v>214</v>
      </c>
      <c r="H598">
        <v>619</v>
      </c>
      <c r="I598">
        <v>52</v>
      </c>
      <c r="J598">
        <v>4</v>
      </c>
      <c r="K598" t="s">
        <v>14</v>
      </c>
      <c r="L598" t="s">
        <v>39</v>
      </c>
      <c r="M598">
        <v>3</v>
      </c>
      <c r="N598">
        <f t="shared" si="54"/>
        <v>1800</v>
      </c>
      <c r="O598">
        <f t="shared" si="55"/>
        <v>1764</v>
      </c>
      <c r="P598" s="1">
        <f t="shared" si="56"/>
        <v>33.92307692307692</v>
      </c>
      <c r="Q598" s="1">
        <f t="shared" si="57"/>
        <v>1.0890854532444618</v>
      </c>
      <c r="R598" s="1">
        <f t="shared" si="58"/>
        <v>214.38647147117231</v>
      </c>
      <c r="S598" s="1">
        <f t="shared" si="59"/>
        <v>0.38647147117231384</v>
      </c>
    </row>
    <row r="599" spans="1:19" x14ac:dyDescent="0.35">
      <c r="A599">
        <v>598</v>
      </c>
      <c r="B599" t="s">
        <v>38</v>
      </c>
      <c r="C599">
        <v>400</v>
      </c>
      <c r="D599" t="s">
        <v>13</v>
      </c>
      <c r="E599">
        <v>60</v>
      </c>
      <c r="F599">
        <v>4</v>
      </c>
      <c r="G599">
        <v>185</v>
      </c>
      <c r="H599">
        <v>716</v>
      </c>
      <c r="I599">
        <v>45</v>
      </c>
      <c r="J599">
        <v>4</v>
      </c>
      <c r="K599" t="s">
        <v>14</v>
      </c>
      <c r="L599" t="s">
        <v>39</v>
      </c>
      <c r="M599">
        <v>3</v>
      </c>
      <c r="N599">
        <f t="shared" si="54"/>
        <v>1800</v>
      </c>
      <c r="O599">
        <f t="shared" si="55"/>
        <v>1764</v>
      </c>
      <c r="P599" s="1">
        <f t="shared" si="56"/>
        <v>39.200000000000003</v>
      </c>
      <c r="Q599" s="1">
        <f t="shared" si="57"/>
        <v>0.94247779607693793</v>
      </c>
      <c r="R599" s="1">
        <f t="shared" si="58"/>
        <v>185.52675415774522</v>
      </c>
      <c r="S599" s="1">
        <f t="shared" si="59"/>
        <v>0.52675415774521639</v>
      </c>
    </row>
    <row r="600" spans="1:19" x14ac:dyDescent="0.35">
      <c r="A600">
        <v>599</v>
      </c>
      <c r="B600" t="s">
        <v>38</v>
      </c>
      <c r="C600">
        <v>400</v>
      </c>
      <c r="D600" t="s">
        <v>13</v>
      </c>
      <c r="E600">
        <v>60</v>
      </c>
      <c r="F600">
        <v>4</v>
      </c>
      <c r="G600">
        <v>153</v>
      </c>
      <c r="H600">
        <v>862</v>
      </c>
      <c r="I600">
        <v>37</v>
      </c>
      <c r="J600">
        <v>4</v>
      </c>
      <c r="K600" t="s">
        <v>14</v>
      </c>
      <c r="L600" t="s">
        <v>39</v>
      </c>
      <c r="M600">
        <v>3</v>
      </c>
      <c r="N600">
        <f t="shared" si="54"/>
        <v>1800</v>
      </c>
      <c r="O600">
        <f t="shared" si="55"/>
        <v>1764</v>
      </c>
      <c r="P600" s="1">
        <f t="shared" si="56"/>
        <v>47.675675675675677</v>
      </c>
      <c r="Q600" s="1">
        <f t="shared" si="57"/>
        <v>0.7749261878854824</v>
      </c>
      <c r="R600" s="1">
        <f t="shared" si="58"/>
        <v>152.54422008525719</v>
      </c>
      <c r="S600" s="1">
        <f t="shared" si="59"/>
        <v>-0.45577991474280566</v>
      </c>
    </row>
    <row r="601" spans="1:19" x14ac:dyDescent="0.35">
      <c r="A601">
        <v>600</v>
      </c>
      <c r="B601" t="s">
        <v>40</v>
      </c>
      <c r="C601">
        <v>500</v>
      </c>
      <c r="D601" t="s">
        <v>32</v>
      </c>
      <c r="E601">
        <v>60</v>
      </c>
      <c r="F601">
        <v>20</v>
      </c>
      <c r="G601">
        <v>1111</v>
      </c>
      <c r="H601">
        <v>595</v>
      </c>
      <c r="I601">
        <v>216</v>
      </c>
      <c r="J601">
        <v>4</v>
      </c>
      <c r="K601" t="s">
        <v>14</v>
      </c>
      <c r="L601" t="s">
        <v>41</v>
      </c>
      <c r="M601">
        <v>3</v>
      </c>
      <c r="N601">
        <f t="shared" si="54"/>
        <v>1800</v>
      </c>
      <c r="O601">
        <f t="shared" si="55"/>
        <v>1764</v>
      </c>
      <c r="P601" s="1">
        <f t="shared" si="56"/>
        <v>8.1666666666666661</v>
      </c>
      <c r="Q601" s="1">
        <f t="shared" si="57"/>
        <v>5.6548667764616276</v>
      </c>
      <c r="R601" s="1">
        <f t="shared" si="58"/>
        <v>1113.1605249464715</v>
      </c>
      <c r="S601" s="1">
        <f t="shared" si="59"/>
        <v>2.1605249464714689</v>
      </c>
    </row>
    <row r="602" spans="1:19" x14ac:dyDescent="0.35">
      <c r="A602">
        <v>601</v>
      </c>
      <c r="B602" t="s">
        <v>40</v>
      </c>
      <c r="C602">
        <v>500</v>
      </c>
      <c r="D602" t="s">
        <v>32</v>
      </c>
      <c r="E602">
        <v>60</v>
      </c>
      <c r="F602">
        <v>20</v>
      </c>
      <c r="G602">
        <v>802</v>
      </c>
      <c r="H602">
        <v>823</v>
      </c>
      <c r="I602">
        <v>156</v>
      </c>
      <c r="J602">
        <v>4</v>
      </c>
      <c r="K602" t="s">
        <v>14</v>
      </c>
      <c r="L602" t="s">
        <v>41</v>
      </c>
      <c r="M602">
        <v>3</v>
      </c>
      <c r="N602">
        <f t="shared" si="54"/>
        <v>1800</v>
      </c>
      <c r="O602">
        <f t="shared" si="55"/>
        <v>1764</v>
      </c>
      <c r="P602" s="1">
        <f t="shared" si="56"/>
        <v>11.307692307692308</v>
      </c>
      <c r="Q602" s="1">
        <f t="shared" si="57"/>
        <v>4.0840704496667311</v>
      </c>
      <c r="R602" s="1">
        <f t="shared" si="58"/>
        <v>803.94926801689599</v>
      </c>
      <c r="S602" s="1">
        <f t="shared" si="59"/>
        <v>1.9492680168959851</v>
      </c>
    </row>
    <row r="603" spans="1:19" x14ac:dyDescent="0.35">
      <c r="A603">
        <v>602</v>
      </c>
      <c r="B603" t="s">
        <v>40</v>
      </c>
      <c r="C603">
        <v>500</v>
      </c>
      <c r="D603" t="s">
        <v>32</v>
      </c>
      <c r="E603">
        <v>60</v>
      </c>
      <c r="F603">
        <v>20</v>
      </c>
      <c r="G603">
        <v>741</v>
      </c>
      <c r="H603">
        <v>892</v>
      </c>
      <c r="I603">
        <v>144</v>
      </c>
      <c r="J603">
        <v>4</v>
      </c>
      <c r="K603" t="s">
        <v>14</v>
      </c>
      <c r="L603" t="s">
        <v>41</v>
      </c>
      <c r="M603">
        <v>3</v>
      </c>
      <c r="N603">
        <f t="shared" si="54"/>
        <v>1800</v>
      </c>
      <c r="O603">
        <f t="shared" si="55"/>
        <v>1764</v>
      </c>
      <c r="P603" s="1">
        <f t="shared" si="56"/>
        <v>12.25</v>
      </c>
      <c r="Q603" s="1">
        <f t="shared" si="57"/>
        <v>3.7699111843077517</v>
      </c>
      <c r="R603" s="1">
        <f t="shared" si="58"/>
        <v>742.10701663098087</v>
      </c>
      <c r="S603" s="1">
        <f t="shared" si="59"/>
        <v>1.1070166309808656</v>
      </c>
    </row>
    <row r="604" spans="1:19" x14ac:dyDescent="0.35">
      <c r="A604">
        <v>603</v>
      </c>
      <c r="B604" t="s">
        <v>40</v>
      </c>
      <c r="C604">
        <v>500</v>
      </c>
      <c r="D604" t="s">
        <v>32</v>
      </c>
      <c r="E604">
        <v>60</v>
      </c>
      <c r="F604">
        <v>20</v>
      </c>
      <c r="G604">
        <v>670</v>
      </c>
      <c r="H604">
        <v>986</v>
      </c>
      <c r="I604">
        <v>130</v>
      </c>
      <c r="J604">
        <v>4</v>
      </c>
      <c r="K604" t="s">
        <v>14</v>
      </c>
      <c r="L604" t="s">
        <v>41</v>
      </c>
      <c r="M604">
        <v>3</v>
      </c>
      <c r="N604">
        <f t="shared" si="54"/>
        <v>1800</v>
      </c>
      <c r="O604">
        <f t="shared" si="55"/>
        <v>1764</v>
      </c>
      <c r="P604" s="1">
        <f t="shared" si="56"/>
        <v>13.569230769230769</v>
      </c>
      <c r="Q604" s="1">
        <f t="shared" si="57"/>
        <v>3.4033920413889422</v>
      </c>
      <c r="R604" s="1">
        <f t="shared" si="58"/>
        <v>669.95772334741321</v>
      </c>
      <c r="S604" s="1">
        <f t="shared" si="59"/>
        <v>-4.2276652586792807E-2</v>
      </c>
    </row>
    <row r="605" spans="1:19" x14ac:dyDescent="0.35">
      <c r="A605">
        <v>604</v>
      </c>
      <c r="B605" t="s">
        <v>40</v>
      </c>
      <c r="C605">
        <v>500</v>
      </c>
      <c r="D605" t="s">
        <v>32</v>
      </c>
      <c r="E605">
        <v>60</v>
      </c>
      <c r="F605">
        <v>20</v>
      </c>
      <c r="G605">
        <v>628</v>
      </c>
      <c r="H605">
        <v>1052</v>
      </c>
      <c r="I605">
        <v>122</v>
      </c>
      <c r="J605">
        <v>4</v>
      </c>
      <c r="K605" t="s">
        <v>14</v>
      </c>
      <c r="L605" t="s">
        <v>41</v>
      </c>
      <c r="M605">
        <v>3</v>
      </c>
      <c r="N605">
        <f t="shared" si="54"/>
        <v>1800</v>
      </c>
      <c r="O605">
        <f t="shared" si="55"/>
        <v>1764</v>
      </c>
      <c r="P605" s="1">
        <f t="shared" si="56"/>
        <v>14.459016393442623</v>
      </c>
      <c r="Q605" s="1">
        <f t="shared" si="57"/>
        <v>3.1939525311496229</v>
      </c>
      <c r="R605" s="1">
        <f t="shared" si="58"/>
        <v>628.72955575680328</v>
      </c>
      <c r="S605" s="1">
        <f t="shared" si="59"/>
        <v>0.72955575680327911</v>
      </c>
    </row>
    <row r="606" spans="1:19" x14ac:dyDescent="0.35">
      <c r="A606">
        <v>605</v>
      </c>
      <c r="B606" t="s">
        <v>40</v>
      </c>
      <c r="C606">
        <v>500</v>
      </c>
      <c r="D606" t="s">
        <v>32</v>
      </c>
      <c r="E606">
        <v>60</v>
      </c>
      <c r="F606">
        <v>20</v>
      </c>
      <c r="G606">
        <v>484</v>
      </c>
      <c r="H606">
        <v>1365</v>
      </c>
      <c r="I606">
        <v>94</v>
      </c>
      <c r="J606">
        <v>4</v>
      </c>
      <c r="K606" t="s">
        <v>14</v>
      </c>
      <c r="L606" t="s">
        <v>41</v>
      </c>
      <c r="M606">
        <v>3</v>
      </c>
      <c r="N606">
        <f t="shared" si="54"/>
        <v>1800</v>
      </c>
      <c r="O606">
        <f t="shared" si="55"/>
        <v>1764</v>
      </c>
      <c r="P606" s="1">
        <f t="shared" si="56"/>
        <v>18.76595744680851</v>
      </c>
      <c r="Q606" s="1">
        <f t="shared" si="57"/>
        <v>2.4609142453120048</v>
      </c>
      <c r="R606" s="1">
        <f t="shared" si="58"/>
        <v>484.43096918966813</v>
      </c>
      <c r="S606" s="1">
        <f t="shared" si="59"/>
        <v>0.43096918966813291</v>
      </c>
    </row>
    <row r="607" spans="1:19" x14ac:dyDescent="0.35">
      <c r="A607">
        <v>606</v>
      </c>
      <c r="B607" t="s">
        <v>40</v>
      </c>
      <c r="C607">
        <v>500</v>
      </c>
      <c r="D607" t="s">
        <v>32</v>
      </c>
      <c r="E607">
        <v>60</v>
      </c>
      <c r="F607">
        <v>20</v>
      </c>
      <c r="G607">
        <v>527</v>
      </c>
      <c r="H607">
        <v>1254</v>
      </c>
      <c r="I607">
        <v>102</v>
      </c>
      <c r="J607">
        <v>4</v>
      </c>
      <c r="K607" t="s">
        <v>14</v>
      </c>
      <c r="L607" t="s">
        <v>41</v>
      </c>
      <c r="M607">
        <v>3</v>
      </c>
      <c r="N607">
        <f t="shared" si="54"/>
        <v>1800</v>
      </c>
      <c r="O607">
        <f t="shared" si="55"/>
        <v>1764</v>
      </c>
      <c r="P607" s="1">
        <f t="shared" si="56"/>
        <v>17.294117647058822</v>
      </c>
      <c r="Q607" s="1">
        <f t="shared" si="57"/>
        <v>2.6703537555513241</v>
      </c>
      <c r="R607" s="1">
        <f t="shared" si="58"/>
        <v>525.65913678027812</v>
      </c>
      <c r="S607" s="1">
        <f t="shared" si="59"/>
        <v>-1.3408632197218822</v>
      </c>
    </row>
    <row r="608" spans="1:19" x14ac:dyDescent="0.35">
      <c r="A608">
        <v>607</v>
      </c>
      <c r="B608" t="s">
        <v>40</v>
      </c>
      <c r="C608">
        <v>500</v>
      </c>
      <c r="D608" t="s">
        <v>32</v>
      </c>
      <c r="E608">
        <v>60</v>
      </c>
      <c r="F608">
        <v>20</v>
      </c>
      <c r="G608">
        <v>444</v>
      </c>
      <c r="H608">
        <v>1488</v>
      </c>
      <c r="I608">
        <v>86</v>
      </c>
      <c r="J608">
        <v>4</v>
      </c>
      <c r="K608" t="s">
        <v>14</v>
      </c>
      <c r="L608" t="s">
        <v>41</v>
      </c>
      <c r="M608">
        <v>3</v>
      </c>
      <c r="N608">
        <f t="shared" si="54"/>
        <v>1800</v>
      </c>
      <c r="O608">
        <f t="shared" si="55"/>
        <v>1764</v>
      </c>
      <c r="P608" s="1">
        <f t="shared" si="56"/>
        <v>20.511627906976745</v>
      </c>
      <c r="Q608" s="1">
        <f t="shared" si="57"/>
        <v>2.2514747350726849</v>
      </c>
      <c r="R608" s="1">
        <f t="shared" si="58"/>
        <v>443.20280159905803</v>
      </c>
      <c r="S608" s="1">
        <f t="shared" si="59"/>
        <v>-0.7971984009419657</v>
      </c>
    </row>
    <row r="609" spans="1:19" x14ac:dyDescent="0.35">
      <c r="A609">
        <v>608</v>
      </c>
      <c r="B609" t="s">
        <v>40</v>
      </c>
      <c r="C609">
        <v>500</v>
      </c>
      <c r="D609" t="s">
        <v>32</v>
      </c>
      <c r="E609">
        <v>60</v>
      </c>
      <c r="F609">
        <v>20</v>
      </c>
      <c r="G609">
        <v>384</v>
      </c>
      <c r="H609">
        <v>1721</v>
      </c>
      <c r="I609">
        <v>75</v>
      </c>
      <c r="J609">
        <v>4</v>
      </c>
      <c r="K609" t="s">
        <v>14</v>
      </c>
      <c r="L609" t="s">
        <v>41</v>
      </c>
      <c r="M609">
        <v>3</v>
      </c>
      <c r="N609">
        <f t="shared" si="54"/>
        <v>1800</v>
      </c>
      <c r="O609">
        <f t="shared" si="55"/>
        <v>1764</v>
      </c>
      <c r="P609" s="1">
        <f t="shared" si="56"/>
        <v>23.52</v>
      </c>
      <c r="Q609" s="1">
        <f t="shared" si="57"/>
        <v>1.9634954084936207</v>
      </c>
      <c r="R609" s="1">
        <f t="shared" si="58"/>
        <v>386.51407116196924</v>
      </c>
      <c r="S609" s="1">
        <f t="shared" si="59"/>
        <v>2.5140711619692411</v>
      </c>
    </row>
    <row r="610" spans="1:19" x14ac:dyDescent="0.35">
      <c r="A610">
        <v>609</v>
      </c>
      <c r="B610" t="s">
        <v>40</v>
      </c>
      <c r="C610">
        <v>500</v>
      </c>
      <c r="D610" t="s">
        <v>32</v>
      </c>
      <c r="E610">
        <v>60</v>
      </c>
      <c r="F610">
        <v>20</v>
      </c>
      <c r="G610">
        <v>319</v>
      </c>
      <c r="H610">
        <v>2072</v>
      </c>
      <c r="I610">
        <v>62</v>
      </c>
      <c r="J610">
        <v>4</v>
      </c>
      <c r="K610" t="s">
        <v>14</v>
      </c>
      <c r="L610" t="s">
        <v>41</v>
      </c>
      <c r="M610">
        <v>3</v>
      </c>
      <c r="N610">
        <f t="shared" si="54"/>
        <v>1800</v>
      </c>
      <c r="O610">
        <f t="shared" si="55"/>
        <v>1764</v>
      </c>
      <c r="P610" s="1">
        <f t="shared" si="56"/>
        <v>28.451612903225808</v>
      </c>
      <c r="Q610" s="1">
        <f t="shared" si="57"/>
        <v>1.6231562043547263</v>
      </c>
      <c r="R610" s="1">
        <f t="shared" si="58"/>
        <v>319.51829882722785</v>
      </c>
      <c r="S610" s="1">
        <f t="shared" si="59"/>
        <v>0.51829882722785214</v>
      </c>
    </row>
    <row r="611" spans="1:19" x14ac:dyDescent="0.35">
      <c r="A611">
        <v>610</v>
      </c>
      <c r="B611" t="s">
        <v>40</v>
      </c>
      <c r="C611">
        <v>500</v>
      </c>
      <c r="D611" t="s">
        <v>32</v>
      </c>
      <c r="E611">
        <v>60</v>
      </c>
      <c r="F611">
        <v>15</v>
      </c>
      <c r="G611">
        <v>1111</v>
      </c>
      <c r="H611">
        <v>446</v>
      </c>
      <c r="I611">
        <v>216</v>
      </c>
      <c r="J611">
        <v>4</v>
      </c>
      <c r="K611" t="s">
        <v>14</v>
      </c>
      <c r="L611" t="s">
        <v>41</v>
      </c>
      <c r="M611">
        <v>3</v>
      </c>
      <c r="N611">
        <f t="shared" si="54"/>
        <v>1800</v>
      </c>
      <c r="O611">
        <f t="shared" si="55"/>
        <v>1764</v>
      </c>
      <c r="P611" s="1">
        <f t="shared" si="56"/>
        <v>8.1666666666666661</v>
      </c>
      <c r="Q611" s="1">
        <f t="shared" si="57"/>
        <v>5.6548667764616276</v>
      </c>
      <c r="R611" s="1">
        <f t="shared" si="58"/>
        <v>1113.1605249464715</v>
      </c>
      <c r="S611" s="1">
        <f t="shared" si="59"/>
        <v>2.1605249464714689</v>
      </c>
    </row>
    <row r="612" spans="1:19" x14ac:dyDescent="0.35">
      <c r="A612">
        <v>611</v>
      </c>
      <c r="B612" t="s">
        <v>40</v>
      </c>
      <c r="C612">
        <v>500</v>
      </c>
      <c r="D612" t="s">
        <v>32</v>
      </c>
      <c r="E612">
        <v>60</v>
      </c>
      <c r="F612">
        <v>15</v>
      </c>
      <c r="G612">
        <v>802</v>
      </c>
      <c r="H612">
        <v>618</v>
      </c>
      <c r="I612">
        <v>156</v>
      </c>
      <c r="J612">
        <v>4</v>
      </c>
      <c r="K612" t="s">
        <v>14</v>
      </c>
      <c r="L612" t="s">
        <v>41</v>
      </c>
      <c r="M612">
        <v>3</v>
      </c>
      <c r="N612">
        <f t="shared" si="54"/>
        <v>1800</v>
      </c>
      <c r="O612">
        <f t="shared" si="55"/>
        <v>1764</v>
      </c>
      <c r="P612" s="1">
        <f t="shared" si="56"/>
        <v>11.307692307692308</v>
      </c>
      <c r="Q612" s="1">
        <f t="shared" si="57"/>
        <v>4.0840704496667311</v>
      </c>
      <c r="R612" s="1">
        <f t="shared" si="58"/>
        <v>803.94926801689599</v>
      </c>
      <c r="S612" s="1">
        <f t="shared" si="59"/>
        <v>1.9492680168959851</v>
      </c>
    </row>
    <row r="613" spans="1:19" x14ac:dyDescent="0.35">
      <c r="A613">
        <v>612</v>
      </c>
      <c r="B613" t="s">
        <v>40</v>
      </c>
      <c r="C613">
        <v>500</v>
      </c>
      <c r="D613" t="s">
        <v>32</v>
      </c>
      <c r="E613">
        <v>60</v>
      </c>
      <c r="F613">
        <v>15</v>
      </c>
      <c r="G613">
        <v>741</v>
      </c>
      <c r="H613">
        <v>669</v>
      </c>
      <c r="I613">
        <v>144</v>
      </c>
      <c r="J613">
        <v>4</v>
      </c>
      <c r="K613" t="s">
        <v>14</v>
      </c>
      <c r="L613" t="s">
        <v>41</v>
      </c>
      <c r="M613">
        <v>3</v>
      </c>
      <c r="N613">
        <f t="shared" si="54"/>
        <v>1800</v>
      </c>
      <c r="O613">
        <f t="shared" si="55"/>
        <v>1764</v>
      </c>
      <c r="P613" s="1">
        <f t="shared" si="56"/>
        <v>12.25</v>
      </c>
      <c r="Q613" s="1">
        <f t="shared" si="57"/>
        <v>3.7699111843077517</v>
      </c>
      <c r="R613" s="1">
        <f t="shared" si="58"/>
        <v>742.10701663098087</v>
      </c>
      <c r="S613" s="1">
        <f t="shared" si="59"/>
        <v>1.1070166309808656</v>
      </c>
    </row>
    <row r="614" spans="1:19" x14ac:dyDescent="0.35">
      <c r="A614">
        <v>613</v>
      </c>
      <c r="B614" t="s">
        <v>40</v>
      </c>
      <c r="C614">
        <v>500</v>
      </c>
      <c r="D614" t="s">
        <v>32</v>
      </c>
      <c r="E614">
        <v>60</v>
      </c>
      <c r="F614">
        <v>15</v>
      </c>
      <c r="G614">
        <v>670</v>
      </c>
      <c r="H614">
        <v>740</v>
      </c>
      <c r="I614">
        <v>130</v>
      </c>
      <c r="J614">
        <v>4</v>
      </c>
      <c r="K614" t="s">
        <v>14</v>
      </c>
      <c r="L614" t="s">
        <v>41</v>
      </c>
      <c r="M614">
        <v>3</v>
      </c>
      <c r="N614">
        <f t="shared" si="54"/>
        <v>1800</v>
      </c>
      <c r="O614">
        <f t="shared" si="55"/>
        <v>1764</v>
      </c>
      <c r="P614" s="1">
        <f t="shared" si="56"/>
        <v>13.569230769230769</v>
      </c>
      <c r="Q614" s="1">
        <f t="shared" si="57"/>
        <v>3.4033920413889422</v>
      </c>
      <c r="R614" s="1">
        <f t="shared" si="58"/>
        <v>669.95772334741321</v>
      </c>
      <c r="S614" s="1">
        <f t="shared" si="59"/>
        <v>-4.2276652586792807E-2</v>
      </c>
    </row>
    <row r="615" spans="1:19" x14ac:dyDescent="0.35">
      <c r="A615">
        <v>614</v>
      </c>
      <c r="B615" t="s">
        <v>40</v>
      </c>
      <c r="C615">
        <v>500</v>
      </c>
      <c r="D615" t="s">
        <v>32</v>
      </c>
      <c r="E615">
        <v>60</v>
      </c>
      <c r="F615">
        <v>15</v>
      </c>
      <c r="G615">
        <v>628</v>
      </c>
      <c r="H615">
        <v>789</v>
      </c>
      <c r="I615">
        <v>122</v>
      </c>
      <c r="J615">
        <v>4</v>
      </c>
      <c r="K615" t="s">
        <v>14</v>
      </c>
      <c r="L615" t="s">
        <v>41</v>
      </c>
      <c r="M615">
        <v>3</v>
      </c>
      <c r="N615">
        <f t="shared" si="54"/>
        <v>1800</v>
      </c>
      <c r="O615">
        <f t="shared" si="55"/>
        <v>1764</v>
      </c>
      <c r="P615" s="1">
        <f t="shared" si="56"/>
        <v>14.459016393442623</v>
      </c>
      <c r="Q615" s="1">
        <f t="shared" si="57"/>
        <v>3.1939525311496229</v>
      </c>
      <c r="R615" s="1">
        <f t="shared" si="58"/>
        <v>628.72955575680328</v>
      </c>
      <c r="S615" s="1">
        <f t="shared" si="59"/>
        <v>0.72955575680327911</v>
      </c>
    </row>
    <row r="616" spans="1:19" x14ac:dyDescent="0.35">
      <c r="A616">
        <v>615</v>
      </c>
      <c r="B616" t="s">
        <v>40</v>
      </c>
      <c r="C616">
        <v>500</v>
      </c>
      <c r="D616" t="s">
        <v>32</v>
      </c>
      <c r="E616">
        <v>60</v>
      </c>
      <c r="F616">
        <v>15</v>
      </c>
      <c r="G616">
        <v>484</v>
      </c>
      <c r="H616">
        <v>1024</v>
      </c>
      <c r="I616">
        <v>94</v>
      </c>
      <c r="J616">
        <v>4</v>
      </c>
      <c r="K616" t="s">
        <v>14</v>
      </c>
      <c r="L616" t="s">
        <v>41</v>
      </c>
      <c r="M616">
        <v>3</v>
      </c>
      <c r="N616">
        <f t="shared" si="54"/>
        <v>1800</v>
      </c>
      <c r="O616">
        <f t="shared" si="55"/>
        <v>1764</v>
      </c>
      <c r="P616" s="1">
        <f t="shared" si="56"/>
        <v>18.76595744680851</v>
      </c>
      <c r="Q616" s="1">
        <f t="shared" si="57"/>
        <v>2.4609142453120048</v>
      </c>
      <c r="R616" s="1">
        <f t="shared" si="58"/>
        <v>484.43096918966813</v>
      </c>
      <c r="S616" s="1">
        <f t="shared" si="59"/>
        <v>0.43096918966813291</v>
      </c>
    </row>
    <row r="617" spans="1:19" x14ac:dyDescent="0.35">
      <c r="A617">
        <v>616</v>
      </c>
      <c r="B617" t="s">
        <v>40</v>
      </c>
      <c r="C617">
        <v>500</v>
      </c>
      <c r="D617" t="s">
        <v>32</v>
      </c>
      <c r="E617">
        <v>60</v>
      </c>
      <c r="F617">
        <v>15</v>
      </c>
      <c r="G617">
        <v>527</v>
      </c>
      <c r="H617">
        <v>940</v>
      </c>
      <c r="I617">
        <v>102</v>
      </c>
      <c r="J617">
        <v>4</v>
      </c>
      <c r="K617" t="s">
        <v>14</v>
      </c>
      <c r="L617" t="s">
        <v>41</v>
      </c>
      <c r="M617">
        <v>3</v>
      </c>
      <c r="N617">
        <f t="shared" si="54"/>
        <v>1800</v>
      </c>
      <c r="O617">
        <f t="shared" si="55"/>
        <v>1764</v>
      </c>
      <c r="P617" s="1">
        <f t="shared" si="56"/>
        <v>17.294117647058822</v>
      </c>
      <c r="Q617" s="1">
        <f t="shared" si="57"/>
        <v>2.6703537555513241</v>
      </c>
      <c r="R617" s="1">
        <f t="shared" si="58"/>
        <v>525.65913678027812</v>
      </c>
      <c r="S617" s="1">
        <f t="shared" si="59"/>
        <v>-1.3408632197218822</v>
      </c>
    </row>
    <row r="618" spans="1:19" x14ac:dyDescent="0.35">
      <c r="A618">
        <v>617</v>
      </c>
      <c r="B618" t="s">
        <v>40</v>
      </c>
      <c r="C618">
        <v>500</v>
      </c>
      <c r="D618" t="s">
        <v>32</v>
      </c>
      <c r="E618">
        <v>60</v>
      </c>
      <c r="F618">
        <v>15</v>
      </c>
      <c r="G618">
        <v>444</v>
      </c>
      <c r="H618">
        <v>1116</v>
      </c>
      <c r="I618">
        <v>86</v>
      </c>
      <c r="J618">
        <v>4</v>
      </c>
      <c r="K618" t="s">
        <v>14</v>
      </c>
      <c r="L618" t="s">
        <v>41</v>
      </c>
      <c r="M618">
        <v>3</v>
      </c>
      <c r="N618">
        <f t="shared" si="54"/>
        <v>1800</v>
      </c>
      <c r="O618">
        <f t="shared" si="55"/>
        <v>1764</v>
      </c>
      <c r="P618" s="1">
        <f t="shared" si="56"/>
        <v>20.511627906976745</v>
      </c>
      <c r="Q618" s="1">
        <f t="shared" si="57"/>
        <v>2.2514747350726849</v>
      </c>
      <c r="R618" s="1">
        <f t="shared" si="58"/>
        <v>443.20280159905803</v>
      </c>
      <c r="S618" s="1">
        <f t="shared" si="59"/>
        <v>-0.7971984009419657</v>
      </c>
    </row>
    <row r="619" spans="1:19" x14ac:dyDescent="0.35">
      <c r="A619">
        <v>618</v>
      </c>
      <c r="B619" t="s">
        <v>40</v>
      </c>
      <c r="C619">
        <v>500</v>
      </c>
      <c r="D619" t="s">
        <v>32</v>
      </c>
      <c r="E619">
        <v>60</v>
      </c>
      <c r="F619">
        <v>15</v>
      </c>
      <c r="G619">
        <v>384</v>
      </c>
      <c r="H619">
        <v>1291</v>
      </c>
      <c r="I619">
        <v>75</v>
      </c>
      <c r="J619">
        <v>4</v>
      </c>
      <c r="K619" t="s">
        <v>14</v>
      </c>
      <c r="L619" t="s">
        <v>41</v>
      </c>
      <c r="M619">
        <v>3</v>
      </c>
      <c r="N619">
        <f t="shared" si="54"/>
        <v>1800</v>
      </c>
      <c r="O619">
        <f t="shared" si="55"/>
        <v>1764</v>
      </c>
      <c r="P619" s="1">
        <f t="shared" si="56"/>
        <v>23.52</v>
      </c>
      <c r="Q619" s="1">
        <f t="shared" si="57"/>
        <v>1.9634954084936207</v>
      </c>
      <c r="R619" s="1">
        <f t="shared" si="58"/>
        <v>386.51407116196924</v>
      </c>
      <c r="S619" s="1">
        <f t="shared" si="59"/>
        <v>2.5140711619692411</v>
      </c>
    </row>
    <row r="620" spans="1:19" x14ac:dyDescent="0.35">
      <c r="A620">
        <v>619</v>
      </c>
      <c r="B620" t="s">
        <v>40</v>
      </c>
      <c r="C620">
        <v>500</v>
      </c>
      <c r="D620" t="s">
        <v>32</v>
      </c>
      <c r="E620">
        <v>60</v>
      </c>
      <c r="F620">
        <v>15</v>
      </c>
      <c r="G620">
        <v>319</v>
      </c>
      <c r="H620">
        <v>1554</v>
      </c>
      <c r="I620">
        <v>62</v>
      </c>
      <c r="J620">
        <v>4</v>
      </c>
      <c r="K620" t="s">
        <v>14</v>
      </c>
      <c r="L620" t="s">
        <v>41</v>
      </c>
      <c r="M620">
        <v>3</v>
      </c>
      <c r="N620">
        <f t="shared" si="54"/>
        <v>1800</v>
      </c>
      <c r="O620">
        <f t="shared" si="55"/>
        <v>1764</v>
      </c>
      <c r="P620" s="1">
        <f t="shared" si="56"/>
        <v>28.451612903225808</v>
      </c>
      <c r="Q620" s="1">
        <f t="shared" si="57"/>
        <v>1.6231562043547263</v>
      </c>
      <c r="R620" s="1">
        <f t="shared" si="58"/>
        <v>319.51829882722785</v>
      </c>
      <c r="S620" s="1">
        <f t="shared" si="59"/>
        <v>0.51829882722785214</v>
      </c>
    </row>
    <row r="621" spans="1:19" x14ac:dyDescent="0.35">
      <c r="A621">
        <v>620</v>
      </c>
      <c r="B621" t="s">
        <v>40</v>
      </c>
      <c r="C621">
        <v>500</v>
      </c>
      <c r="D621" t="s">
        <v>32</v>
      </c>
      <c r="E621">
        <v>60</v>
      </c>
      <c r="F621">
        <v>15</v>
      </c>
      <c r="G621">
        <v>268</v>
      </c>
      <c r="H621">
        <v>1849</v>
      </c>
      <c r="I621">
        <v>52</v>
      </c>
      <c r="J621">
        <v>4</v>
      </c>
      <c r="K621" t="s">
        <v>14</v>
      </c>
      <c r="L621" t="s">
        <v>41</v>
      </c>
      <c r="M621">
        <v>3</v>
      </c>
      <c r="N621">
        <f t="shared" si="54"/>
        <v>1800</v>
      </c>
      <c r="O621">
        <f t="shared" si="55"/>
        <v>1764</v>
      </c>
      <c r="P621" s="1">
        <f t="shared" si="56"/>
        <v>33.92307692307692</v>
      </c>
      <c r="Q621" s="1">
        <f t="shared" si="57"/>
        <v>1.3613568165555772</v>
      </c>
      <c r="R621" s="1">
        <f t="shared" si="58"/>
        <v>267.98308933896539</v>
      </c>
      <c r="S621" s="1">
        <f t="shared" si="59"/>
        <v>-1.6910661034614805E-2</v>
      </c>
    </row>
    <row r="622" spans="1:19" x14ac:dyDescent="0.35">
      <c r="A622">
        <v>621</v>
      </c>
      <c r="B622" t="s">
        <v>40</v>
      </c>
      <c r="C622">
        <v>500</v>
      </c>
      <c r="D622" t="s">
        <v>32</v>
      </c>
      <c r="E622">
        <v>60</v>
      </c>
      <c r="F622">
        <v>15</v>
      </c>
      <c r="G622">
        <v>232</v>
      </c>
      <c r="H622">
        <v>2140</v>
      </c>
      <c r="I622">
        <v>45</v>
      </c>
      <c r="J622">
        <v>4</v>
      </c>
      <c r="K622" t="s">
        <v>14</v>
      </c>
      <c r="L622" t="s">
        <v>41</v>
      </c>
      <c r="M622">
        <v>3</v>
      </c>
      <c r="N622">
        <f t="shared" si="54"/>
        <v>1800</v>
      </c>
      <c r="O622">
        <f t="shared" si="55"/>
        <v>1764</v>
      </c>
      <c r="P622" s="1">
        <f t="shared" si="56"/>
        <v>39.200000000000003</v>
      </c>
      <c r="Q622" s="1">
        <f t="shared" si="57"/>
        <v>1.1780972450961724</v>
      </c>
      <c r="R622" s="1">
        <f t="shared" si="58"/>
        <v>231.90844269718153</v>
      </c>
      <c r="S622" s="1">
        <f t="shared" si="59"/>
        <v>-9.1557302818472408E-2</v>
      </c>
    </row>
    <row r="623" spans="1:19" x14ac:dyDescent="0.35">
      <c r="A623">
        <v>622</v>
      </c>
      <c r="B623" t="s">
        <v>40</v>
      </c>
      <c r="C623">
        <v>500</v>
      </c>
      <c r="D623" t="s">
        <v>32</v>
      </c>
      <c r="E623">
        <v>60</v>
      </c>
      <c r="F623">
        <v>10</v>
      </c>
      <c r="G623">
        <v>1111</v>
      </c>
      <c r="H623">
        <v>297</v>
      </c>
      <c r="I623">
        <v>216</v>
      </c>
      <c r="J623">
        <v>4</v>
      </c>
      <c r="K623" t="s">
        <v>14</v>
      </c>
      <c r="L623" t="s">
        <v>41</v>
      </c>
      <c r="M623">
        <v>3</v>
      </c>
      <c r="N623">
        <f t="shared" si="54"/>
        <v>1800</v>
      </c>
      <c r="O623">
        <f t="shared" si="55"/>
        <v>1764</v>
      </c>
      <c r="P623" s="1">
        <f t="shared" si="56"/>
        <v>8.1666666666666661</v>
      </c>
      <c r="Q623" s="1">
        <f t="shared" si="57"/>
        <v>5.6548667764616276</v>
      </c>
      <c r="R623" s="1">
        <f t="shared" si="58"/>
        <v>1113.1605249464715</v>
      </c>
      <c r="S623" s="1">
        <f t="shared" si="59"/>
        <v>2.1605249464714689</v>
      </c>
    </row>
    <row r="624" spans="1:19" x14ac:dyDescent="0.35">
      <c r="A624">
        <v>623</v>
      </c>
      <c r="B624" t="s">
        <v>40</v>
      </c>
      <c r="C624">
        <v>500</v>
      </c>
      <c r="D624" t="s">
        <v>32</v>
      </c>
      <c r="E624">
        <v>60</v>
      </c>
      <c r="F624">
        <v>10</v>
      </c>
      <c r="G624">
        <v>802</v>
      </c>
      <c r="H624">
        <v>412</v>
      </c>
      <c r="I624">
        <v>156</v>
      </c>
      <c r="J624">
        <v>4</v>
      </c>
      <c r="K624" t="s">
        <v>14</v>
      </c>
      <c r="L624" t="s">
        <v>41</v>
      </c>
      <c r="M624">
        <v>3</v>
      </c>
      <c r="N624">
        <f t="shared" si="54"/>
        <v>1800</v>
      </c>
      <c r="O624">
        <f t="shared" si="55"/>
        <v>1764</v>
      </c>
      <c r="P624" s="1">
        <f t="shared" si="56"/>
        <v>11.307692307692308</v>
      </c>
      <c r="Q624" s="1">
        <f t="shared" si="57"/>
        <v>4.0840704496667311</v>
      </c>
      <c r="R624" s="1">
        <f t="shared" si="58"/>
        <v>803.94926801689599</v>
      </c>
      <c r="S624" s="1">
        <f t="shared" si="59"/>
        <v>1.9492680168959851</v>
      </c>
    </row>
    <row r="625" spans="1:19" x14ac:dyDescent="0.35">
      <c r="A625">
        <v>624</v>
      </c>
      <c r="B625" t="s">
        <v>40</v>
      </c>
      <c r="C625">
        <v>500</v>
      </c>
      <c r="D625" t="s">
        <v>32</v>
      </c>
      <c r="E625">
        <v>60</v>
      </c>
      <c r="F625">
        <v>10</v>
      </c>
      <c r="G625">
        <v>741</v>
      </c>
      <c r="H625">
        <v>446</v>
      </c>
      <c r="I625">
        <v>144</v>
      </c>
      <c r="J625">
        <v>4</v>
      </c>
      <c r="K625" t="s">
        <v>14</v>
      </c>
      <c r="L625" t="s">
        <v>41</v>
      </c>
      <c r="M625">
        <v>3</v>
      </c>
      <c r="N625">
        <f t="shared" si="54"/>
        <v>1800</v>
      </c>
      <c r="O625">
        <f t="shared" si="55"/>
        <v>1764</v>
      </c>
      <c r="P625" s="1">
        <f t="shared" si="56"/>
        <v>12.25</v>
      </c>
      <c r="Q625" s="1">
        <f t="shared" si="57"/>
        <v>3.7699111843077517</v>
      </c>
      <c r="R625" s="1">
        <f t="shared" si="58"/>
        <v>742.10701663098087</v>
      </c>
      <c r="S625" s="1">
        <f t="shared" si="59"/>
        <v>1.1070166309808656</v>
      </c>
    </row>
    <row r="626" spans="1:19" x14ac:dyDescent="0.35">
      <c r="A626">
        <v>625</v>
      </c>
      <c r="B626" t="s">
        <v>40</v>
      </c>
      <c r="C626">
        <v>500</v>
      </c>
      <c r="D626" t="s">
        <v>32</v>
      </c>
      <c r="E626">
        <v>60</v>
      </c>
      <c r="F626">
        <v>10</v>
      </c>
      <c r="G626">
        <v>670</v>
      </c>
      <c r="H626">
        <v>493</v>
      </c>
      <c r="I626">
        <v>130</v>
      </c>
      <c r="J626">
        <v>4</v>
      </c>
      <c r="K626" t="s">
        <v>14</v>
      </c>
      <c r="L626" t="s">
        <v>41</v>
      </c>
      <c r="M626">
        <v>3</v>
      </c>
      <c r="N626">
        <f t="shared" si="54"/>
        <v>1800</v>
      </c>
      <c r="O626">
        <f t="shared" si="55"/>
        <v>1764</v>
      </c>
      <c r="P626" s="1">
        <f t="shared" si="56"/>
        <v>13.569230769230769</v>
      </c>
      <c r="Q626" s="1">
        <f t="shared" si="57"/>
        <v>3.4033920413889422</v>
      </c>
      <c r="R626" s="1">
        <f t="shared" si="58"/>
        <v>669.95772334741321</v>
      </c>
      <c r="S626" s="1">
        <f t="shared" si="59"/>
        <v>-4.2276652586792807E-2</v>
      </c>
    </row>
    <row r="627" spans="1:19" x14ac:dyDescent="0.35">
      <c r="A627">
        <v>626</v>
      </c>
      <c r="B627" t="s">
        <v>40</v>
      </c>
      <c r="C627">
        <v>500</v>
      </c>
      <c r="D627" t="s">
        <v>32</v>
      </c>
      <c r="E627">
        <v>60</v>
      </c>
      <c r="F627">
        <v>10</v>
      </c>
      <c r="G627">
        <v>628</v>
      </c>
      <c r="H627">
        <v>526</v>
      </c>
      <c r="I627">
        <v>122</v>
      </c>
      <c r="J627">
        <v>4</v>
      </c>
      <c r="K627" t="s">
        <v>14</v>
      </c>
      <c r="L627" t="s">
        <v>41</v>
      </c>
      <c r="M627">
        <v>3</v>
      </c>
      <c r="N627">
        <f t="shared" si="54"/>
        <v>1800</v>
      </c>
      <c r="O627">
        <f t="shared" si="55"/>
        <v>1764</v>
      </c>
      <c r="P627" s="1">
        <f t="shared" si="56"/>
        <v>14.459016393442623</v>
      </c>
      <c r="Q627" s="1">
        <f t="shared" si="57"/>
        <v>3.1939525311496229</v>
      </c>
      <c r="R627" s="1">
        <f t="shared" si="58"/>
        <v>628.72955575680328</v>
      </c>
      <c r="S627" s="1">
        <f t="shared" si="59"/>
        <v>0.72955575680327911</v>
      </c>
    </row>
    <row r="628" spans="1:19" x14ac:dyDescent="0.35">
      <c r="A628">
        <v>627</v>
      </c>
      <c r="B628" t="s">
        <v>40</v>
      </c>
      <c r="C628">
        <v>500</v>
      </c>
      <c r="D628" t="s">
        <v>32</v>
      </c>
      <c r="E628">
        <v>60</v>
      </c>
      <c r="F628">
        <v>10</v>
      </c>
      <c r="G628">
        <v>484</v>
      </c>
      <c r="H628">
        <v>682</v>
      </c>
      <c r="I628">
        <v>94</v>
      </c>
      <c r="J628">
        <v>4</v>
      </c>
      <c r="K628" t="s">
        <v>14</v>
      </c>
      <c r="L628" t="s">
        <v>41</v>
      </c>
      <c r="M628">
        <v>3</v>
      </c>
      <c r="N628">
        <f t="shared" si="54"/>
        <v>1800</v>
      </c>
      <c r="O628">
        <f t="shared" si="55"/>
        <v>1764</v>
      </c>
      <c r="P628" s="1">
        <f t="shared" si="56"/>
        <v>18.76595744680851</v>
      </c>
      <c r="Q628" s="1">
        <f t="shared" si="57"/>
        <v>2.4609142453120048</v>
      </c>
      <c r="R628" s="1">
        <f t="shared" si="58"/>
        <v>484.43096918966813</v>
      </c>
      <c r="S628" s="1">
        <f t="shared" si="59"/>
        <v>0.43096918966813291</v>
      </c>
    </row>
    <row r="629" spans="1:19" x14ac:dyDescent="0.35">
      <c r="A629">
        <v>628</v>
      </c>
      <c r="B629" t="s">
        <v>40</v>
      </c>
      <c r="C629">
        <v>500</v>
      </c>
      <c r="D629" t="s">
        <v>32</v>
      </c>
      <c r="E629">
        <v>60</v>
      </c>
      <c r="F629">
        <v>10</v>
      </c>
      <c r="G629">
        <v>527</v>
      </c>
      <c r="H629">
        <v>627</v>
      </c>
      <c r="I629">
        <v>102</v>
      </c>
      <c r="J629">
        <v>4</v>
      </c>
      <c r="K629" t="s">
        <v>14</v>
      </c>
      <c r="L629" t="s">
        <v>41</v>
      </c>
      <c r="M629">
        <v>3</v>
      </c>
      <c r="N629">
        <f t="shared" si="54"/>
        <v>1800</v>
      </c>
      <c r="O629">
        <f t="shared" si="55"/>
        <v>1764</v>
      </c>
      <c r="P629" s="1">
        <f t="shared" si="56"/>
        <v>17.294117647058822</v>
      </c>
      <c r="Q629" s="1">
        <f t="shared" si="57"/>
        <v>2.6703537555513241</v>
      </c>
      <c r="R629" s="1">
        <f t="shared" si="58"/>
        <v>525.65913678027812</v>
      </c>
      <c r="S629" s="1">
        <f t="shared" si="59"/>
        <v>-1.3408632197218822</v>
      </c>
    </row>
    <row r="630" spans="1:19" x14ac:dyDescent="0.35">
      <c r="A630">
        <v>629</v>
      </c>
      <c r="B630" t="s">
        <v>40</v>
      </c>
      <c r="C630">
        <v>500</v>
      </c>
      <c r="D630" t="s">
        <v>32</v>
      </c>
      <c r="E630">
        <v>60</v>
      </c>
      <c r="F630">
        <v>10</v>
      </c>
      <c r="G630">
        <v>444</v>
      </c>
      <c r="H630">
        <v>744</v>
      </c>
      <c r="I630">
        <v>86</v>
      </c>
      <c r="J630">
        <v>4</v>
      </c>
      <c r="K630" t="s">
        <v>14</v>
      </c>
      <c r="L630" t="s">
        <v>41</v>
      </c>
      <c r="M630">
        <v>3</v>
      </c>
      <c r="N630">
        <f t="shared" si="54"/>
        <v>1800</v>
      </c>
      <c r="O630">
        <f t="shared" si="55"/>
        <v>1764</v>
      </c>
      <c r="P630" s="1">
        <f t="shared" si="56"/>
        <v>20.511627906976745</v>
      </c>
      <c r="Q630" s="1">
        <f t="shared" si="57"/>
        <v>2.2514747350726849</v>
      </c>
      <c r="R630" s="1">
        <f t="shared" si="58"/>
        <v>443.20280159905803</v>
      </c>
      <c r="S630" s="1">
        <f t="shared" si="59"/>
        <v>-0.7971984009419657</v>
      </c>
    </row>
    <row r="631" spans="1:19" x14ac:dyDescent="0.35">
      <c r="A631">
        <v>630</v>
      </c>
      <c r="B631" t="s">
        <v>40</v>
      </c>
      <c r="C631">
        <v>500</v>
      </c>
      <c r="D631" t="s">
        <v>32</v>
      </c>
      <c r="E631">
        <v>60</v>
      </c>
      <c r="F631">
        <v>10</v>
      </c>
      <c r="G631">
        <v>384</v>
      </c>
      <c r="H631">
        <v>861</v>
      </c>
      <c r="I631">
        <v>75</v>
      </c>
      <c r="J631">
        <v>4</v>
      </c>
      <c r="K631" t="s">
        <v>14</v>
      </c>
      <c r="L631" t="s">
        <v>41</v>
      </c>
      <c r="M631">
        <v>3</v>
      </c>
      <c r="N631">
        <f t="shared" si="54"/>
        <v>1800</v>
      </c>
      <c r="O631">
        <f t="shared" si="55"/>
        <v>1764</v>
      </c>
      <c r="P631" s="1">
        <f t="shared" si="56"/>
        <v>23.52</v>
      </c>
      <c r="Q631" s="1">
        <f t="shared" si="57"/>
        <v>1.9634954084936207</v>
      </c>
      <c r="R631" s="1">
        <f t="shared" si="58"/>
        <v>386.51407116196924</v>
      </c>
      <c r="S631" s="1">
        <f t="shared" si="59"/>
        <v>2.5140711619692411</v>
      </c>
    </row>
    <row r="632" spans="1:19" x14ac:dyDescent="0.35">
      <c r="A632">
        <v>631</v>
      </c>
      <c r="B632" t="s">
        <v>40</v>
      </c>
      <c r="C632">
        <v>500</v>
      </c>
      <c r="D632" t="s">
        <v>32</v>
      </c>
      <c r="E632">
        <v>60</v>
      </c>
      <c r="F632">
        <v>10</v>
      </c>
      <c r="G632">
        <v>319</v>
      </c>
      <c r="H632">
        <v>1036</v>
      </c>
      <c r="I632">
        <v>62</v>
      </c>
      <c r="J632">
        <v>4</v>
      </c>
      <c r="K632" t="s">
        <v>14</v>
      </c>
      <c r="L632" t="s">
        <v>41</v>
      </c>
      <c r="M632">
        <v>3</v>
      </c>
      <c r="N632">
        <f t="shared" si="54"/>
        <v>1800</v>
      </c>
      <c r="O632">
        <f t="shared" si="55"/>
        <v>1764</v>
      </c>
      <c r="P632" s="1">
        <f t="shared" si="56"/>
        <v>28.451612903225808</v>
      </c>
      <c r="Q632" s="1">
        <f t="shared" si="57"/>
        <v>1.6231562043547263</v>
      </c>
      <c r="R632" s="1">
        <f t="shared" si="58"/>
        <v>319.51829882722785</v>
      </c>
      <c r="S632" s="1">
        <f t="shared" si="59"/>
        <v>0.51829882722785214</v>
      </c>
    </row>
    <row r="633" spans="1:19" x14ac:dyDescent="0.35">
      <c r="A633">
        <v>632</v>
      </c>
      <c r="B633" t="s">
        <v>40</v>
      </c>
      <c r="C633">
        <v>500</v>
      </c>
      <c r="D633" t="s">
        <v>32</v>
      </c>
      <c r="E633">
        <v>60</v>
      </c>
      <c r="F633">
        <v>10</v>
      </c>
      <c r="G633">
        <v>268</v>
      </c>
      <c r="H633">
        <v>1233</v>
      </c>
      <c r="I633">
        <v>52</v>
      </c>
      <c r="J633">
        <v>4</v>
      </c>
      <c r="K633" t="s">
        <v>14</v>
      </c>
      <c r="L633" t="s">
        <v>41</v>
      </c>
      <c r="M633">
        <v>3</v>
      </c>
      <c r="N633">
        <f t="shared" si="54"/>
        <v>1800</v>
      </c>
      <c r="O633">
        <f t="shared" si="55"/>
        <v>1764</v>
      </c>
      <c r="P633" s="1">
        <f t="shared" si="56"/>
        <v>33.92307692307692</v>
      </c>
      <c r="Q633" s="1">
        <f t="shared" si="57"/>
        <v>1.3613568165555772</v>
      </c>
      <c r="R633" s="1">
        <f t="shared" si="58"/>
        <v>267.98308933896539</v>
      </c>
      <c r="S633" s="1">
        <f t="shared" si="59"/>
        <v>-1.6910661034614805E-2</v>
      </c>
    </row>
    <row r="634" spans="1:19" x14ac:dyDescent="0.35">
      <c r="A634">
        <v>633</v>
      </c>
      <c r="B634" t="s">
        <v>40</v>
      </c>
      <c r="C634">
        <v>500</v>
      </c>
      <c r="D634" t="s">
        <v>32</v>
      </c>
      <c r="E634">
        <v>60</v>
      </c>
      <c r="F634">
        <v>10</v>
      </c>
      <c r="G634">
        <v>232</v>
      </c>
      <c r="H634">
        <v>1427</v>
      </c>
      <c r="I634">
        <v>45</v>
      </c>
      <c r="J634">
        <v>4</v>
      </c>
      <c r="K634" t="s">
        <v>14</v>
      </c>
      <c r="L634" t="s">
        <v>41</v>
      </c>
      <c r="M634">
        <v>3</v>
      </c>
      <c r="N634">
        <f t="shared" si="54"/>
        <v>1800</v>
      </c>
      <c r="O634">
        <f t="shared" si="55"/>
        <v>1764</v>
      </c>
      <c r="P634" s="1">
        <f t="shared" si="56"/>
        <v>39.200000000000003</v>
      </c>
      <c r="Q634" s="1">
        <f t="shared" si="57"/>
        <v>1.1780972450961724</v>
      </c>
      <c r="R634" s="1">
        <f t="shared" si="58"/>
        <v>231.90844269718153</v>
      </c>
      <c r="S634" s="1">
        <f t="shared" si="59"/>
        <v>-9.1557302818472408E-2</v>
      </c>
    </row>
    <row r="635" spans="1:19" x14ac:dyDescent="0.35">
      <c r="A635">
        <v>634</v>
      </c>
      <c r="B635" t="s">
        <v>40</v>
      </c>
      <c r="C635">
        <v>500</v>
      </c>
      <c r="D635" t="s">
        <v>32</v>
      </c>
      <c r="E635">
        <v>60</v>
      </c>
      <c r="F635">
        <v>10</v>
      </c>
      <c r="G635">
        <v>192</v>
      </c>
      <c r="H635">
        <v>1717</v>
      </c>
      <c r="I635">
        <v>37</v>
      </c>
      <c r="J635">
        <v>4</v>
      </c>
      <c r="K635" t="s">
        <v>14</v>
      </c>
      <c r="L635" t="s">
        <v>41</v>
      </c>
      <c r="M635">
        <v>3</v>
      </c>
      <c r="N635">
        <f t="shared" si="54"/>
        <v>1800</v>
      </c>
      <c r="O635">
        <f t="shared" si="55"/>
        <v>1764</v>
      </c>
      <c r="P635" s="1">
        <f t="shared" si="56"/>
        <v>47.675675675675677</v>
      </c>
      <c r="Q635" s="1">
        <f t="shared" si="57"/>
        <v>0.96865773485685291</v>
      </c>
      <c r="R635" s="1">
        <f t="shared" si="58"/>
        <v>190.68027510657149</v>
      </c>
      <c r="S635" s="1">
        <f t="shared" si="59"/>
        <v>-1.3197248934285142</v>
      </c>
    </row>
    <row r="636" spans="1:19" x14ac:dyDescent="0.35">
      <c r="A636">
        <v>635</v>
      </c>
      <c r="B636" t="s">
        <v>40</v>
      </c>
      <c r="C636">
        <v>500</v>
      </c>
      <c r="D636" t="s">
        <v>32</v>
      </c>
      <c r="E636">
        <v>60</v>
      </c>
      <c r="F636">
        <v>7.5</v>
      </c>
      <c r="G636">
        <v>670</v>
      </c>
      <c r="H636">
        <v>370</v>
      </c>
      <c r="I636">
        <v>130</v>
      </c>
      <c r="J636">
        <v>4</v>
      </c>
      <c r="K636" t="s">
        <v>14</v>
      </c>
      <c r="L636" t="s">
        <v>41</v>
      </c>
      <c r="M636">
        <v>3</v>
      </c>
      <c r="N636">
        <f t="shared" si="54"/>
        <v>1800</v>
      </c>
      <c r="O636">
        <f t="shared" si="55"/>
        <v>1764</v>
      </c>
      <c r="P636" s="1">
        <f t="shared" si="56"/>
        <v>13.569230769230769</v>
      </c>
      <c r="Q636" s="1">
        <f t="shared" si="57"/>
        <v>3.4033920413889422</v>
      </c>
      <c r="R636" s="1">
        <f t="shared" si="58"/>
        <v>669.95772334741321</v>
      </c>
      <c r="S636" s="1">
        <f t="shared" si="59"/>
        <v>-4.2276652586792807E-2</v>
      </c>
    </row>
    <row r="637" spans="1:19" x14ac:dyDescent="0.35">
      <c r="A637">
        <v>636</v>
      </c>
      <c r="B637" t="s">
        <v>40</v>
      </c>
      <c r="C637">
        <v>500</v>
      </c>
      <c r="D637" t="s">
        <v>32</v>
      </c>
      <c r="E637">
        <v>60</v>
      </c>
      <c r="F637">
        <v>7.5</v>
      </c>
      <c r="G637">
        <v>484</v>
      </c>
      <c r="H637">
        <v>512</v>
      </c>
      <c r="I637">
        <v>94</v>
      </c>
      <c r="J637">
        <v>4</v>
      </c>
      <c r="K637" t="s">
        <v>14</v>
      </c>
      <c r="L637" t="s">
        <v>41</v>
      </c>
      <c r="M637">
        <v>3</v>
      </c>
      <c r="N637">
        <f t="shared" si="54"/>
        <v>1800</v>
      </c>
      <c r="O637">
        <f t="shared" si="55"/>
        <v>1764</v>
      </c>
      <c r="P637" s="1">
        <f t="shared" si="56"/>
        <v>18.76595744680851</v>
      </c>
      <c r="Q637" s="1">
        <f t="shared" si="57"/>
        <v>2.4609142453120048</v>
      </c>
      <c r="R637" s="1">
        <f t="shared" si="58"/>
        <v>484.43096918966813</v>
      </c>
      <c r="S637" s="1">
        <f t="shared" si="59"/>
        <v>0.43096918966813291</v>
      </c>
    </row>
    <row r="638" spans="1:19" x14ac:dyDescent="0.35">
      <c r="A638">
        <v>637</v>
      </c>
      <c r="B638" t="s">
        <v>40</v>
      </c>
      <c r="C638">
        <v>500</v>
      </c>
      <c r="D638" t="s">
        <v>32</v>
      </c>
      <c r="E638">
        <v>60</v>
      </c>
      <c r="F638">
        <v>7.5</v>
      </c>
      <c r="G638">
        <v>379</v>
      </c>
      <c r="H638">
        <v>654</v>
      </c>
      <c r="I638">
        <v>74</v>
      </c>
      <c r="J638">
        <v>4</v>
      </c>
      <c r="K638" t="s">
        <v>14</v>
      </c>
      <c r="L638" t="s">
        <v>41</v>
      </c>
      <c r="M638">
        <v>3</v>
      </c>
      <c r="N638">
        <f t="shared" si="54"/>
        <v>1800</v>
      </c>
      <c r="O638">
        <f t="shared" si="55"/>
        <v>1764</v>
      </c>
      <c r="P638" s="1">
        <f t="shared" si="56"/>
        <v>23.837837837837839</v>
      </c>
      <c r="Q638" s="1">
        <f t="shared" si="57"/>
        <v>1.9373154697137058</v>
      </c>
      <c r="R638" s="1">
        <f t="shared" si="58"/>
        <v>381.36055021314297</v>
      </c>
      <c r="S638" s="1">
        <f t="shared" si="59"/>
        <v>2.3605502131429716</v>
      </c>
    </row>
    <row r="639" spans="1:19" x14ac:dyDescent="0.35">
      <c r="A639">
        <v>638</v>
      </c>
      <c r="B639" t="s">
        <v>40</v>
      </c>
      <c r="C639">
        <v>500</v>
      </c>
      <c r="D639" t="s">
        <v>32</v>
      </c>
      <c r="E639">
        <v>60</v>
      </c>
      <c r="F639">
        <v>7.5</v>
      </c>
      <c r="G639">
        <v>286</v>
      </c>
      <c r="H639">
        <v>867</v>
      </c>
      <c r="I639">
        <v>55</v>
      </c>
      <c r="J639">
        <v>4</v>
      </c>
      <c r="K639" t="s">
        <v>14</v>
      </c>
      <c r="L639" t="s">
        <v>41</v>
      </c>
      <c r="M639">
        <v>3</v>
      </c>
      <c r="N639">
        <f t="shared" si="54"/>
        <v>1800</v>
      </c>
      <c r="O639">
        <f t="shared" si="55"/>
        <v>1764</v>
      </c>
      <c r="P639" s="1">
        <f t="shared" si="56"/>
        <v>32.072727272727271</v>
      </c>
      <c r="Q639" s="1">
        <f t="shared" si="57"/>
        <v>1.439896632895322</v>
      </c>
      <c r="R639" s="1">
        <f t="shared" si="58"/>
        <v>283.44365218544414</v>
      </c>
      <c r="S639" s="1">
        <f t="shared" si="59"/>
        <v>-2.5563478145558634</v>
      </c>
    </row>
    <row r="640" spans="1:19" x14ac:dyDescent="0.35">
      <c r="A640">
        <v>639</v>
      </c>
      <c r="B640" t="s">
        <v>40</v>
      </c>
      <c r="C640">
        <v>500</v>
      </c>
      <c r="D640" t="s">
        <v>32</v>
      </c>
      <c r="E640">
        <v>60</v>
      </c>
      <c r="F640">
        <v>7.5</v>
      </c>
      <c r="G640">
        <v>268</v>
      </c>
      <c r="H640">
        <v>925</v>
      </c>
      <c r="I640">
        <v>52</v>
      </c>
      <c r="J640">
        <v>4</v>
      </c>
      <c r="K640" t="s">
        <v>14</v>
      </c>
      <c r="L640" t="s">
        <v>41</v>
      </c>
      <c r="M640">
        <v>3</v>
      </c>
      <c r="N640">
        <f t="shared" si="54"/>
        <v>1800</v>
      </c>
      <c r="O640">
        <f t="shared" si="55"/>
        <v>1764</v>
      </c>
      <c r="P640" s="1">
        <f t="shared" si="56"/>
        <v>33.92307692307692</v>
      </c>
      <c r="Q640" s="1">
        <f t="shared" si="57"/>
        <v>1.3613568165555772</v>
      </c>
      <c r="R640" s="1">
        <f t="shared" si="58"/>
        <v>267.98308933896539</v>
      </c>
      <c r="S640" s="1">
        <f t="shared" si="59"/>
        <v>-1.6910661034614805E-2</v>
      </c>
    </row>
    <row r="641" spans="1:19" x14ac:dyDescent="0.35">
      <c r="A641">
        <v>640</v>
      </c>
      <c r="B641" t="s">
        <v>40</v>
      </c>
      <c r="C641">
        <v>500</v>
      </c>
      <c r="D641" t="s">
        <v>32</v>
      </c>
      <c r="E641">
        <v>60</v>
      </c>
      <c r="F641">
        <v>7.5</v>
      </c>
      <c r="G641">
        <v>232</v>
      </c>
      <c r="H641">
        <v>1070</v>
      </c>
      <c r="I641">
        <v>45</v>
      </c>
      <c r="J641">
        <v>4</v>
      </c>
      <c r="K641" t="s">
        <v>14</v>
      </c>
      <c r="L641" t="s">
        <v>41</v>
      </c>
      <c r="M641">
        <v>3</v>
      </c>
      <c r="N641">
        <f t="shared" si="54"/>
        <v>1800</v>
      </c>
      <c r="O641">
        <f t="shared" si="55"/>
        <v>1764</v>
      </c>
      <c r="P641" s="1">
        <f t="shared" si="56"/>
        <v>39.200000000000003</v>
      </c>
      <c r="Q641" s="1">
        <f t="shared" si="57"/>
        <v>1.1780972450961724</v>
      </c>
      <c r="R641" s="1">
        <f t="shared" si="58"/>
        <v>231.90844269718153</v>
      </c>
      <c r="S641" s="1">
        <f t="shared" si="59"/>
        <v>-9.1557302818472408E-2</v>
      </c>
    </row>
    <row r="642" spans="1:19" x14ac:dyDescent="0.35">
      <c r="A642">
        <v>641</v>
      </c>
      <c r="B642" t="s">
        <v>40</v>
      </c>
      <c r="C642">
        <v>500</v>
      </c>
      <c r="D642" t="s">
        <v>32</v>
      </c>
      <c r="E642">
        <v>60</v>
      </c>
      <c r="F642">
        <v>7.5</v>
      </c>
      <c r="G642">
        <v>192</v>
      </c>
      <c r="H642">
        <v>1288</v>
      </c>
      <c r="I642">
        <v>37</v>
      </c>
      <c r="J642">
        <v>4</v>
      </c>
      <c r="K642" t="s">
        <v>14</v>
      </c>
      <c r="L642" t="s">
        <v>41</v>
      </c>
      <c r="M642">
        <v>3</v>
      </c>
      <c r="N642">
        <f t="shared" si="54"/>
        <v>1800</v>
      </c>
      <c r="O642">
        <f t="shared" si="55"/>
        <v>1764</v>
      </c>
      <c r="P642" s="1">
        <f t="shared" si="56"/>
        <v>47.675675675675677</v>
      </c>
      <c r="Q642" s="1">
        <f t="shared" si="57"/>
        <v>0.96865773485685291</v>
      </c>
      <c r="R642" s="1">
        <f t="shared" si="58"/>
        <v>190.68027510657149</v>
      </c>
      <c r="S642" s="1">
        <f t="shared" si="59"/>
        <v>-1.3197248934285142</v>
      </c>
    </row>
    <row r="643" spans="1:19" x14ac:dyDescent="0.35">
      <c r="A643">
        <v>642</v>
      </c>
      <c r="B643" t="s">
        <v>40</v>
      </c>
      <c r="C643">
        <v>500</v>
      </c>
      <c r="D643" t="s">
        <v>32</v>
      </c>
      <c r="E643">
        <v>60</v>
      </c>
      <c r="F643">
        <v>7.5</v>
      </c>
      <c r="G643">
        <v>447</v>
      </c>
      <c r="H643">
        <v>555</v>
      </c>
      <c r="I643">
        <v>87</v>
      </c>
      <c r="J643">
        <v>6</v>
      </c>
      <c r="K643" t="s">
        <v>14</v>
      </c>
      <c r="L643" t="s">
        <v>41</v>
      </c>
      <c r="M643">
        <v>3</v>
      </c>
      <c r="N643">
        <f t="shared" ref="N643:N706" si="60">60*60*2/J643</f>
        <v>1200</v>
      </c>
      <c r="O643">
        <f t="shared" ref="O643:O706" si="61">N643*(1-0.02)</f>
        <v>1176</v>
      </c>
      <c r="P643" s="1">
        <f t="shared" ref="P643:P706" si="62">O643/I643</f>
        <v>13.517241379310345</v>
      </c>
      <c r="Q643" s="1">
        <f t="shared" ref="Q643:Q706" si="63">(I643*2*PI()/60)*(C643/2000)</f>
        <v>2.2776546738526</v>
      </c>
      <c r="R643" s="1">
        <f t="shared" ref="R643:R706" si="64">Q643*196.85</f>
        <v>448.3563225478843</v>
      </c>
      <c r="S643" s="1">
        <f t="shared" ref="S643:S706" si="65">R643-G643</f>
        <v>1.3563225478843037</v>
      </c>
    </row>
    <row r="644" spans="1:19" x14ac:dyDescent="0.35">
      <c r="A644">
        <v>643</v>
      </c>
      <c r="B644" t="s">
        <v>40</v>
      </c>
      <c r="C644">
        <v>500</v>
      </c>
      <c r="D644" t="s">
        <v>32</v>
      </c>
      <c r="E644">
        <v>60</v>
      </c>
      <c r="F644">
        <v>7.5</v>
      </c>
      <c r="G644">
        <v>323</v>
      </c>
      <c r="H644">
        <v>768</v>
      </c>
      <c r="I644">
        <v>63</v>
      </c>
      <c r="J644">
        <v>6</v>
      </c>
      <c r="K644" t="s">
        <v>14</v>
      </c>
      <c r="L644" t="s">
        <v>41</v>
      </c>
      <c r="M644">
        <v>3</v>
      </c>
      <c r="N644">
        <f t="shared" si="60"/>
        <v>1200</v>
      </c>
      <c r="O644">
        <f t="shared" si="61"/>
        <v>1176</v>
      </c>
      <c r="P644" s="1">
        <f t="shared" si="62"/>
        <v>18.666666666666668</v>
      </c>
      <c r="Q644" s="1">
        <f t="shared" si="63"/>
        <v>1.6493361431346414</v>
      </c>
      <c r="R644" s="1">
        <f t="shared" si="64"/>
        <v>324.67181977605412</v>
      </c>
      <c r="S644" s="1">
        <f t="shared" si="65"/>
        <v>1.6718197760541216</v>
      </c>
    </row>
    <row r="645" spans="1:19" x14ac:dyDescent="0.35">
      <c r="A645">
        <v>644</v>
      </c>
      <c r="B645" t="s">
        <v>40</v>
      </c>
      <c r="C645">
        <v>500</v>
      </c>
      <c r="D645" t="s">
        <v>32</v>
      </c>
      <c r="E645">
        <v>60</v>
      </c>
      <c r="F645">
        <v>7.5</v>
      </c>
      <c r="G645">
        <v>253</v>
      </c>
      <c r="H645">
        <v>981</v>
      </c>
      <c r="I645">
        <v>49</v>
      </c>
      <c r="J645">
        <v>6</v>
      </c>
      <c r="K645" t="s">
        <v>14</v>
      </c>
      <c r="L645" t="s">
        <v>41</v>
      </c>
      <c r="M645">
        <v>3</v>
      </c>
      <c r="N645">
        <f t="shared" si="60"/>
        <v>1200</v>
      </c>
      <c r="O645">
        <f t="shared" si="61"/>
        <v>1176</v>
      </c>
      <c r="P645" s="1">
        <f t="shared" si="62"/>
        <v>24</v>
      </c>
      <c r="Q645" s="1">
        <f t="shared" si="63"/>
        <v>1.2828170002158321</v>
      </c>
      <c r="R645" s="1">
        <f t="shared" si="64"/>
        <v>252.52252649248655</v>
      </c>
      <c r="S645" s="1">
        <f t="shared" si="65"/>
        <v>-0.47747350751345152</v>
      </c>
    </row>
    <row r="646" spans="1:19" x14ac:dyDescent="0.35">
      <c r="A646">
        <v>645</v>
      </c>
      <c r="B646" t="s">
        <v>40</v>
      </c>
      <c r="C646">
        <v>500</v>
      </c>
      <c r="D646" t="s">
        <v>32</v>
      </c>
      <c r="E646">
        <v>60</v>
      </c>
      <c r="F646">
        <v>7.5</v>
      </c>
      <c r="G646">
        <v>191</v>
      </c>
      <c r="H646">
        <v>1300</v>
      </c>
      <c r="I646">
        <v>37</v>
      </c>
      <c r="J646">
        <v>6</v>
      </c>
      <c r="K646" t="s">
        <v>14</v>
      </c>
      <c r="L646" t="s">
        <v>41</v>
      </c>
      <c r="M646">
        <v>3</v>
      </c>
      <c r="N646">
        <f t="shared" si="60"/>
        <v>1200</v>
      </c>
      <c r="O646">
        <f t="shared" si="61"/>
        <v>1176</v>
      </c>
      <c r="P646" s="1">
        <f t="shared" si="62"/>
        <v>31.783783783783782</v>
      </c>
      <c r="Q646" s="1">
        <f t="shared" si="63"/>
        <v>0.96865773485685291</v>
      </c>
      <c r="R646" s="1">
        <f t="shared" si="64"/>
        <v>190.68027510657149</v>
      </c>
      <c r="S646" s="1">
        <f t="shared" si="65"/>
        <v>-0.31972489342851418</v>
      </c>
    </row>
    <row r="647" spans="1:19" x14ac:dyDescent="0.35">
      <c r="A647">
        <v>646</v>
      </c>
      <c r="B647" t="s">
        <v>40</v>
      </c>
      <c r="C647">
        <v>500</v>
      </c>
      <c r="D647" t="s">
        <v>32</v>
      </c>
      <c r="E647">
        <v>60</v>
      </c>
      <c r="F647">
        <v>7.5</v>
      </c>
      <c r="G647">
        <v>179</v>
      </c>
      <c r="H647">
        <v>1387</v>
      </c>
      <c r="I647">
        <v>35</v>
      </c>
      <c r="J647">
        <v>6</v>
      </c>
      <c r="K647" t="s">
        <v>14</v>
      </c>
      <c r="L647" t="s">
        <v>41</v>
      </c>
      <c r="M647">
        <v>3</v>
      </c>
      <c r="N647">
        <f t="shared" si="60"/>
        <v>1200</v>
      </c>
      <c r="O647">
        <f t="shared" si="61"/>
        <v>1176</v>
      </c>
      <c r="P647" s="1">
        <f t="shared" si="62"/>
        <v>33.6</v>
      </c>
      <c r="Q647" s="1">
        <f t="shared" si="63"/>
        <v>0.91629785729702296</v>
      </c>
      <c r="R647" s="1">
        <f t="shared" si="64"/>
        <v>180.37323320891898</v>
      </c>
      <c r="S647" s="1">
        <f t="shared" si="65"/>
        <v>1.3732332089189754</v>
      </c>
    </row>
    <row r="648" spans="1:19" x14ac:dyDescent="0.35">
      <c r="A648">
        <v>647</v>
      </c>
      <c r="B648" t="s">
        <v>40</v>
      </c>
      <c r="C648">
        <v>500</v>
      </c>
      <c r="D648" t="s">
        <v>32</v>
      </c>
      <c r="E648">
        <v>60</v>
      </c>
      <c r="F648">
        <v>7.5</v>
      </c>
      <c r="G648">
        <v>154</v>
      </c>
      <c r="H648">
        <v>1605</v>
      </c>
      <c r="I648">
        <v>30</v>
      </c>
      <c r="J648">
        <v>6</v>
      </c>
      <c r="K648" t="s">
        <v>14</v>
      </c>
      <c r="L648" t="s">
        <v>41</v>
      </c>
      <c r="M648">
        <v>3</v>
      </c>
      <c r="N648">
        <f t="shared" si="60"/>
        <v>1200</v>
      </c>
      <c r="O648">
        <f t="shared" si="61"/>
        <v>1176</v>
      </c>
      <c r="P648" s="1">
        <f t="shared" si="62"/>
        <v>39.200000000000003</v>
      </c>
      <c r="Q648" s="1">
        <f t="shared" si="63"/>
        <v>0.78539816339744817</v>
      </c>
      <c r="R648" s="1">
        <f t="shared" si="64"/>
        <v>154.60562846478766</v>
      </c>
      <c r="S648" s="1">
        <f t="shared" si="65"/>
        <v>0.60562846478765664</v>
      </c>
    </row>
    <row r="649" spans="1:19" x14ac:dyDescent="0.35">
      <c r="A649">
        <v>648</v>
      </c>
      <c r="B649" t="s">
        <v>40</v>
      </c>
      <c r="C649">
        <v>500</v>
      </c>
      <c r="D649" t="s">
        <v>32</v>
      </c>
      <c r="E649">
        <v>60</v>
      </c>
      <c r="F649">
        <v>7.5</v>
      </c>
      <c r="G649">
        <v>128</v>
      </c>
      <c r="H649">
        <v>1932</v>
      </c>
      <c r="I649">
        <v>25</v>
      </c>
      <c r="J649">
        <v>6</v>
      </c>
      <c r="K649" t="s">
        <v>14</v>
      </c>
      <c r="L649" t="s">
        <v>41</v>
      </c>
      <c r="M649">
        <v>3</v>
      </c>
      <c r="N649">
        <f t="shared" si="60"/>
        <v>1200</v>
      </c>
      <c r="O649">
        <f t="shared" si="61"/>
        <v>1176</v>
      </c>
      <c r="P649" s="1">
        <f t="shared" si="62"/>
        <v>47.04</v>
      </c>
      <c r="Q649" s="1">
        <f t="shared" si="63"/>
        <v>0.6544984694978736</v>
      </c>
      <c r="R649" s="1">
        <f t="shared" si="64"/>
        <v>128.83802372065642</v>
      </c>
      <c r="S649" s="1">
        <f t="shared" si="65"/>
        <v>0.83802372065642317</v>
      </c>
    </row>
    <row r="650" spans="1:19" x14ac:dyDescent="0.35">
      <c r="A650">
        <v>649</v>
      </c>
      <c r="B650" t="s">
        <v>40</v>
      </c>
      <c r="C650">
        <v>500</v>
      </c>
      <c r="D650" t="s">
        <v>32</v>
      </c>
      <c r="E650">
        <v>60</v>
      </c>
      <c r="F650">
        <v>5.5</v>
      </c>
      <c r="G650">
        <v>670</v>
      </c>
      <c r="H650">
        <v>271</v>
      </c>
      <c r="I650">
        <v>130</v>
      </c>
      <c r="J650">
        <v>4</v>
      </c>
      <c r="K650" t="s">
        <v>14</v>
      </c>
      <c r="L650" t="s">
        <v>41</v>
      </c>
      <c r="M650">
        <v>3</v>
      </c>
      <c r="N650">
        <f t="shared" si="60"/>
        <v>1800</v>
      </c>
      <c r="O650">
        <f t="shared" si="61"/>
        <v>1764</v>
      </c>
      <c r="P650" s="1">
        <f t="shared" si="62"/>
        <v>13.569230769230769</v>
      </c>
      <c r="Q650" s="1">
        <f t="shared" si="63"/>
        <v>3.4033920413889422</v>
      </c>
      <c r="R650" s="1">
        <f t="shared" si="64"/>
        <v>669.95772334741321</v>
      </c>
      <c r="S650" s="1">
        <f t="shared" si="65"/>
        <v>-4.2276652586792807E-2</v>
      </c>
    </row>
    <row r="651" spans="1:19" x14ac:dyDescent="0.35">
      <c r="A651">
        <v>650</v>
      </c>
      <c r="B651" t="s">
        <v>40</v>
      </c>
      <c r="C651">
        <v>500</v>
      </c>
      <c r="D651" t="s">
        <v>32</v>
      </c>
      <c r="E651">
        <v>60</v>
      </c>
      <c r="F651">
        <v>5.5</v>
      </c>
      <c r="G651">
        <v>484</v>
      </c>
      <c r="H651">
        <v>375</v>
      </c>
      <c r="I651">
        <v>94</v>
      </c>
      <c r="J651">
        <v>4</v>
      </c>
      <c r="K651" t="s">
        <v>14</v>
      </c>
      <c r="L651" t="s">
        <v>41</v>
      </c>
      <c r="M651">
        <v>3</v>
      </c>
      <c r="N651">
        <f t="shared" si="60"/>
        <v>1800</v>
      </c>
      <c r="O651">
        <f t="shared" si="61"/>
        <v>1764</v>
      </c>
      <c r="P651" s="1">
        <f t="shared" si="62"/>
        <v>18.76595744680851</v>
      </c>
      <c r="Q651" s="1">
        <f t="shared" si="63"/>
        <v>2.4609142453120048</v>
      </c>
      <c r="R651" s="1">
        <f t="shared" si="64"/>
        <v>484.43096918966813</v>
      </c>
      <c r="S651" s="1">
        <f t="shared" si="65"/>
        <v>0.43096918966813291</v>
      </c>
    </row>
    <row r="652" spans="1:19" x14ac:dyDescent="0.35">
      <c r="A652">
        <v>651</v>
      </c>
      <c r="B652" t="s">
        <v>40</v>
      </c>
      <c r="C652">
        <v>500</v>
      </c>
      <c r="D652" t="s">
        <v>32</v>
      </c>
      <c r="E652">
        <v>60</v>
      </c>
      <c r="F652">
        <v>5.5</v>
      </c>
      <c r="G652">
        <v>379</v>
      </c>
      <c r="H652">
        <v>479</v>
      </c>
      <c r="I652">
        <v>74</v>
      </c>
      <c r="J652">
        <v>4</v>
      </c>
      <c r="K652" t="s">
        <v>14</v>
      </c>
      <c r="L652" t="s">
        <v>41</v>
      </c>
      <c r="M652">
        <v>3</v>
      </c>
      <c r="N652">
        <f t="shared" si="60"/>
        <v>1800</v>
      </c>
      <c r="O652">
        <f t="shared" si="61"/>
        <v>1764</v>
      </c>
      <c r="P652" s="1">
        <f t="shared" si="62"/>
        <v>23.837837837837839</v>
      </c>
      <c r="Q652" s="1">
        <f t="shared" si="63"/>
        <v>1.9373154697137058</v>
      </c>
      <c r="R652" s="1">
        <f t="shared" si="64"/>
        <v>381.36055021314297</v>
      </c>
      <c r="S652" s="1">
        <f t="shared" si="65"/>
        <v>2.3605502131429716</v>
      </c>
    </row>
    <row r="653" spans="1:19" x14ac:dyDescent="0.35">
      <c r="A653">
        <v>652</v>
      </c>
      <c r="B653" t="s">
        <v>40</v>
      </c>
      <c r="C653">
        <v>500</v>
      </c>
      <c r="D653" t="s">
        <v>32</v>
      </c>
      <c r="E653">
        <v>60</v>
      </c>
      <c r="F653">
        <v>5.5</v>
      </c>
      <c r="G653">
        <v>286</v>
      </c>
      <c r="H653">
        <v>636</v>
      </c>
      <c r="I653">
        <v>55</v>
      </c>
      <c r="J653">
        <v>4</v>
      </c>
      <c r="K653" t="s">
        <v>14</v>
      </c>
      <c r="L653" t="s">
        <v>41</v>
      </c>
      <c r="M653">
        <v>3</v>
      </c>
      <c r="N653">
        <f t="shared" si="60"/>
        <v>1800</v>
      </c>
      <c r="O653">
        <f t="shared" si="61"/>
        <v>1764</v>
      </c>
      <c r="P653" s="1">
        <f t="shared" si="62"/>
        <v>32.072727272727271</v>
      </c>
      <c r="Q653" s="1">
        <f t="shared" si="63"/>
        <v>1.439896632895322</v>
      </c>
      <c r="R653" s="1">
        <f t="shared" si="64"/>
        <v>283.44365218544414</v>
      </c>
      <c r="S653" s="1">
        <f t="shared" si="65"/>
        <v>-2.5563478145558634</v>
      </c>
    </row>
    <row r="654" spans="1:19" x14ac:dyDescent="0.35">
      <c r="A654">
        <v>653</v>
      </c>
      <c r="B654" t="s">
        <v>40</v>
      </c>
      <c r="C654">
        <v>500</v>
      </c>
      <c r="D654" t="s">
        <v>32</v>
      </c>
      <c r="E654">
        <v>60</v>
      </c>
      <c r="F654">
        <v>5.5</v>
      </c>
      <c r="G654">
        <v>268</v>
      </c>
      <c r="H654">
        <v>678</v>
      </c>
      <c r="I654">
        <v>52</v>
      </c>
      <c r="J654">
        <v>4</v>
      </c>
      <c r="K654" t="s">
        <v>14</v>
      </c>
      <c r="L654" t="s">
        <v>41</v>
      </c>
      <c r="M654">
        <v>3</v>
      </c>
      <c r="N654">
        <f t="shared" si="60"/>
        <v>1800</v>
      </c>
      <c r="O654">
        <f t="shared" si="61"/>
        <v>1764</v>
      </c>
      <c r="P654" s="1">
        <f t="shared" si="62"/>
        <v>33.92307692307692</v>
      </c>
      <c r="Q654" s="1">
        <f t="shared" si="63"/>
        <v>1.3613568165555772</v>
      </c>
      <c r="R654" s="1">
        <f t="shared" si="64"/>
        <v>267.98308933896539</v>
      </c>
      <c r="S654" s="1">
        <f t="shared" si="65"/>
        <v>-1.6910661034614805E-2</v>
      </c>
    </row>
    <row r="655" spans="1:19" x14ac:dyDescent="0.35">
      <c r="A655">
        <v>654</v>
      </c>
      <c r="B655" t="s">
        <v>40</v>
      </c>
      <c r="C655">
        <v>500</v>
      </c>
      <c r="D655" t="s">
        <v>32</v>
      </c>
      <c r="E655">
        <v>60</v>
      </c>
      <c r="F655">
        <v>5.5</v>
      </c>
      <c r="G655">
        <v>232</v>
      </c>
      <c r="H655">
        <v>785</v>
      </c>
      <c r="I655">
        <v>45</v>
      </c>
      <c r="J655">
        <v>4</v>
      </c>
      <c r="K655" t="s">
        <v>14</v>
      </c>
      <c r="L655" t="s">
        <v>41</v>
      </c>
      <c r="M655">
        <v>3</v>
      </c>
      <c r="N655">
        <f t="shared" si="60"/>
        <v>1800</v>
      </c>
      <c r="O655">
        <f t="shared" si="61"/>
        <v>1764</v>
      </c>
      <c r="P655" s="1">
        <f t="shared" si="62"/>
        <v>39.200000000000003</v>
      </c>
      <c r="Q655" s="1">
        <f t="shared" si="63"/>
        <v>1.1780972450961724</v>
      </c>
      <c r="R655" s="1">
        <f t="shared" si="64"/>
        <v>231.90844269718153</v>
      </c>
      <c r="S655" s="1">
        <f t="shared" si="65"/>
        <v>-9.1557302818472408E-2</v>
      </c>
    </row>
    <row r="656" spans="1:19" x14ac:dyDescent="0.35">
      <c r="A656">
        <v>655</v>
      </c>
      <c r="B656" t="s">
        <v>40</v>
      </c>
      <c r="C656">
        <v>500</v>
      </c>
      <c r="D656" t="s">
        <v>32</v>
      </c>
      <c r="E656">
        <v>60</v>
      </c>
      <c r="F656">
        <v>5.5</v>
      </c>
      <c r="G656">
        <v>192</v>
      </c>
      <c r="H656">
        <v>944</v>
      </c>
      <c r="I656">
        <v>37</v>
      </c>
      <c r="J656">
        <v>4</v>
      </c>
      <c r="K656" t="s">
        <v>14</v>
      </c>
      <c r="L656" t="s">
        <v>41</v>
      </c>
      <c r="M656">
        <v>3</v>
      </c>
      <c r="N656">
        <f t="shared" si="60"/>
        <v>1800</v>
      </c>
      <c r="O656">
        <f t="shared" si="61"/>
        <v>1764</v>
      </c>
      <c r="P656" s="1">
        <f t="shared" si="62"/>
        <v>47.675675675675677</v>
      </c>
      <c r="Q656" s="1">
        <f t="shared" si="63"/>
        <v>0.96865773485685291</v>
      </c>
      <c r="R656" s="1">
        <f t="shared" si="64"/>
        <v>190.68027510657149</v>
      </c>
      <c r="S656" s="1">
        <f t="shared" si="65"/>
        <v>-1.3197248934285142</v>
      </c>
    </row>
    <row r="657" spans="1:19" x14ac:dyDescent="0.35">
      <c r="A657">
        <v>656</v>
      </c>
      <c r="B657" t="s">
        <v>40</v>
      </c>
      <c r="C657">
        <v>500</v>
      </c>
      <c r="D657" t="s">
        <v>32</v>
      </c>
      <c r="E657">
        <v>60</v>
      </c>
      <c r="F657">
        <v>5.5</v>
      </c>
      <c r="G657">
        <v>447</v>
      </c>
      <c r="H657">
        <v>407</v>
      </c>
      <c r="I657">
        <v>87</v>
      </c>
      <c r="J657">
        <v>6</v>
      </c>
      <c r="K657" t="s">
        <v>14</v>
      </c>
      <c r="L657" t="s">
        <v>41</v>
      </c>
      <c r="M657">
        <v>3</v>
      </c>
      <c r="N657">
        <f t="shared" si="60"/>
        <v>1200</v>
      </c>
      <c r="O657">
        <f t="shared" si="61"/>
        <v>1176</v>
      </c>
      <c r="P657" s="1">
        <f t="shared" si="62"/>
        <v>13.517241379310345</v>
      </c>
      <c r="Q657" s="1">
        <f t="shared" si="63"/>
        <v>2.2776546738526</v>
      </c>
      <c r="R657" s="1">
        <f t="shared" si="64"/>
        <v>448.3563225478843</v>
      </c>
      <c r="S657" s="1">
        <f t="shared" si="65"/>
        <v>1.3563225478843037</v>
      </c>
    </row>
    <row r="658" spans="1:19" x14ac:dyDescent="0.35">
      <c r="A658">
        <v>657</v>
      </c>
      <c r="B658" t="s">
        <v>40</v>
      </c>
      <c r="C658">
        <v>500</v>
      </c>
      <c r="D658" t="s">
        <v>32</v>
      </c>
      <c r="E658">
        <v>60</v>
      </c>
      <c r="F658">
        <v>5.5</v>
      </c>
      <c r="G658">
        <v>323</v>
      </c>
      <c r="H658">
        <v>563</v>
      </c>
      <c r="I658">
        <v>63</v>
      </c>
      <c r="J658">
        <v>6</v>
      </c>
      <c r="K658" t="s">
        <v>14</v>
      </c>
      <c r="L658" t="s">
        <v>41</v>
      </c>
      <c r="M658">
        <v>3</v>
      </c>
      <c r="N658">
        <f t="shared" si="60"/>
        <v>1200</v>
      </c>
      <c r="O658">
        <f t="shared" si="61"/>
        <v>1176</v>
      </c>
      <c r="P658" s="1">
        <f t="shared" si="62"/>
        <v>18.666666666666668</v>
      </c>
      <c r="Q658" s="1">
        <f t="shared" si="63"/>
        <v>1.6493361431346414</v>
      </c>
      <c r="R658" s="1">
        <f t="shared" si="64"/>
        <v>324.67181977605412</v>
      </c>
      <c r="S658" s="1">
        <f t="shared" si="65"/>
        <v>1.6718197760541216</v>
      </c>
    </row>
    <row r="659" spans="1:19" x14ac:dyDescent="0.35">
      <c r="A659">
        <v>658</v>
      </c>
      <c r="B659" t="s">
        <v>40</v>
      </c>
      <c r="C659">
        <v>500</v>
      </c>
      <c r="D659" t="s">
        <v>32</v>
      </c>
      <c r="E659">
        <v>60</v>
      </c>
      <c r="F659">
        <v>5.5</v>
      </c>
      <c r="G659">
        <v>253</v>
      </c>
      <c r="H659">
        <v>719</v>
      </c>
      <c r="I659">
        <v>49</v>
      </c>
      <c r="J659">
        <v>6</v>
      </c>
      <c r="K659" t="s">
        <v>14</v>
      </c>
      <c r="L659" t="s">
        <v>41</v>
      </c>
      <c r="M659">
        <v>3</v>
      </c>
      <c r="N659">
        <f t="shared" si="60"/>
        <v>1200</v>
      </c>
      <c r="O659">
        <f t="shared" si="61"/>
        <v>1176</v>
      </c>
      <c r="P659" s="1">
        <f t="shared" si="62"/>
        <v>24</v>
      </c>
      <c r="Q659" s="1">
        <f t="shared" si="63"/>
        <v>1.2828170002158321</v>
      </c>
      <c r="R659" s="1">
        <f t="shared" si="64"/>
        <v>252.52252649248655</v>
      </c>
      <c r="S659" s="1">
        <f t="shared" si="65"/>
        <v>-0.47747350751345152</v>
      </c>
    </row>
    <row r="660" spans="1:19" x14ac:dyDescent="0.35">
      <c r="A660">
        <v>659</v>
      </c>
      <c r="B660" t="s">
        <v>40</v>
      </c>
      <c r="C660">
        <v>500</v>
      </c>
      <c r="D660" t="s">
        <v>32</v>
      </c>
      <c r="E660">
        <v>60</v>
      </c>
      <c r="F660">
        <v>5.5</v>
      </c>
      <c r="G660">
        <v>191</v>
      </c>
      <c r="H660">
        <v>954</v>
      </c>
      <c r="I660">
        <v>37</v>
      </c>
      <c r="J660">
        <v>6</v>
      </c>
      <c r="K660" t="s">
        <v>14</v>
      </c>
      <c r="L660" t="s">
        <v>41</v>
      </c>
      <c r="M660">
        <v>3</v>
      </c>
      <c r="N660">
        <f t="shared" si="60"/>
        <v>1200</v>
      </c>
      <c r="O660">
        <f t="shared" si="61"/>
        <v>1176</v>
      </c>
      <c r="P660" s="1">
        <f t="shared" si="62"/>
        <v>31.783783783783782</v>
      </c>
      <c r="Q660" s="1">
        <f t="shared" si="63"/>
        <v>0.96865773485685291</v>
      </c>
      <c r="R660" s="1">
        <f t="shared" si="64"/>
        <v>190.68027510657149</v>
      </c>
      <c r="S660" s="1">
        <f t="shared" si="65"/>
        <v>-0.31972489342851418</v>
      </c>
    </row>
    <row r="661" spans="1:19" x14ac:dyDescent="0.35">
      <c r="A661">
        <v>660</v>
      </c>
      <c r="B661" t="s">
        <v>40</v>
      </c>
      <c r="C661">
        <v>500</v>
      </c>
      <c r="D661" t="s">
        <v>32</v>
      </c>
      <c r="E661">
        <v>60</v>
      </c>
      <c r="F661">
        <v>5.5</v>
      </c>
      <c r="G661">
        <v>179</v>
      </c>
      <c r="H661">
        <v>1017</v>
      </c>
      <c r="I661">
        <v>35</v>
      </c>
      <c r="J661">
        <v>6</v>
      </c>
      <c r="K661" t="s">
        <v>14</v>
      </c>
      <c r="L661" t="s">
        <v>41</v>
      </c>
      <c r="M661">
        <v>3</v>
      </c>
      <c r="N661">
        <f t="shared" si="60"/>
        <v>1200</v>
      </c>
      <c r="O661">
        <f t="shared" si="61"/>
        <v>1176</v>
      </c>
      <c r="P661" s="1">
        <f t="shared" si="62"/>
        <v>33.6</v>
      </c>
      <c r="Q661" s="1">
        <f t="shared" si="63"/>
        <v>0.91629785729702296</v>
      </c>
      <c r="R661" s="1">
        <f t="shared" si="64"/>
        <v>180.37323320891898</v>
      </c>
      <c r="S661" s="1">
        <f t="shared" si="65"/>
        <v>1.3732332089189754</v>
      </c>
    </row>
    <row r="662" spans="1:19" x14ac:dyDescent="0.35">
      <c r="A662">
        <v>661</v>
      </c>
      <c r="B662" t="s">
        <v>40</v>
      </c>
      <c r="C662">
        <v>500</v>
      </c>
      <c r="D662" t="s">
        <v>32</v>
      </c>
      <c r="E662">
        <v>60</v>
      </c>
      <c r="F662">
        <v>5.5</v>
      </c>
      <c r="G662">
        <v>154</v>
      </c>
      <c r="H662">
        <v>1177</v>
      </c>
      <c r="I662">
        <v>30</v>
      </c>
      <c r="J662">
        <v>6</v>
      </c>
      <c r="K662" t="s">
        <v>14</v>
      </c>
      <c r="L662" t="s">
        <v>41</v>
      </c>
      <c r="M662">
        <v>3</v>
      </c>
      <c r="N662">
        <f t="shared" si="60"/>
        <v>1200</v>
      </c>
      <c r="O662">
        <f t="shared" si="61"/>
        <v>1176</v>
      </c>
      <c r="P662" s="1">
        <f t="shared" si="62"/>
        <v>39.200000000000003</v>
      </c>
      <c r="Q662" s="1">
        <f t="shared" si="63"/>
        <v>0.78539816339744817</v>
      </c>
      <c r="R662" s="1">
        <f t="shared" si="64"/>
        <v>154.60562846478766</v>
      </c>
      <c r="S662" s="1">
        <f t="shared" si="65"/>
        <v>0.60562846478765664</v>
      </c>
    </row>
    <row r="663" spans="1:19" x14ac:dyDescent="0.35">
      <c r="A663">
        <v>662</v>
      </c>
      <c r="B663" t="s">
        <v>40</v>
      </c>
      <c r="C663">
        <v>500</v>
      </c>
      <c r="D663" t="s">
        <v>32</v>
      </c>
      <c r="E663">
        <v>60</v>
      </c>
      <c r="F663">
        <v>5.5</v>
      </c>
      <c r="G663">
        <v>128</v>
      </c>
      <c r="H663">
        <v>1417</v>
      </c>
      <c r="I663">
        <v>25</v>
      </c>
      <c r="J663">
        <v>6</v>
      </c>
      <c r="K663" t="s">
        <v>14</v>
      </c>
      <c r="L663" t="s">
        <v>41</v>
      </c>
      <c r="M663">
        <v>3</v>
      </c>
      <c r="N663">
        <f t="shared" si="60"/>
        <v>1200</v>
      </c>
      <c r="O663">
        <f t="shared" si="61"/>
        <v>1176</v>
      </c>
      <c r="P663" s="1">
        <f t="shared" si="62"/>
        <v>47.04</v>
      </c>
      <c r="Q663" s="1">
        <f t="shared" si="63"/>
        <v>0.6544984694978736</v>
      </c>
      <c r="R663" s="1">
        <f t="shared" si="64"/>
        <v>128.83802372065642</v>
      </c>
      <c r="S663" s="1">
        <f t="shared" si="65"/>
        <v>0.83802372065642317</v>
      </c>
    </row>
    <row r="664" spans="1:19" x14ac:dyDescent="0.35">
      <c r="A664">
        <v>663</v>
      </c>
      <c r="B664" t="s">
        <v>40</v>
      </c>
      <c r="C664">
        <v>500</v>
      </c>
      <c r="D664" t="s">
        <v>32</v>
      </c>
      <c r="E664">
        <v>60</v>
      </c>
      <c r="F664">
        <v>4</v>
      </c>
      <c r="G664">
        <v>670</v>
      </c>
      <c r="H664">
        <v>197</v>
      </c>
      <c r="I664">
        <v>130</v>
      </c>
      <c r="J664">
        <v>4</v>
      </c>
      <c r="K664" t="s">
        <v>14</v>
      </c>
      <c r="L664" t="s">
        <v>41</v>
      </c>
      <c r="M664">
        <v>3</v>
      </c>
      <c r="N664">
        <f t="shared" si="60"/>
        <v>1800</v>
      </c>
      <c r="O664">
        <f t="shared" si="61"/>
        <v>1764</v>
      </c>
      <c r="P664" s="1">
        <f t="shared" si="62"/>
        <v>13.569230769230769</v>
      </c>
      <c r="Q664" s="1">
        <f t="shared" si="63"/>
        <v>3.4033920413889422</v>
      </c>
      <c r="R664" s="1">
        <f t="shared" si="64"/>
        <v>669.95772334741321</v>
      </c>
      <c r="S664" s="1">
        <f t="shared" si="65"/>
        <v>-4.2276652586792807E-2</v>
      </c>
    </row>
    <row r="665" spans="1:19" x14ac:dyDescent="0.35">
      <c r="A665">
        <v>664</v>
      </c>
      <c r="B665" t="s">
        <v>40</v>
      </c>
      <c r="C665">
        <v>500</v>
      </c>
      <c r="D665" t="s">
        <v>32</v>
      </c>
      <c r="E665">
        <v>60</v>
      </c>
      <c r="F665">
        <v>4</v>
      </c>
      <c r="G665">
        <v>484</v>
      </c>
      <c r="H665">
        <v>273</v>
      </c>
      <c r="I665">
        <v>94</v>
      </c>
      <c r="J665">
        <v>4</v>
      </c>
      <c r="K665" t="s">
        <v>14</v>
      </c>
      <c r="L665" t="s">
        <v>41</v>
      </c>
      <c r="M665">
        <v>3</v>
      </c>
      <c r="N665">
        <f t="shared" si="60"/>
        <v>1800</v>
      </c>
      <c r="O665">
        <f t="shared" si="61"/>
        <v>1764</v>
      </c>
      <c r="P665" s="1">
        <f t="shared" si="62"/>
        <v>18.76595744680851</v>
      </c>
      <c r="Q665" s="1">
        <f t="shared" si="63"/>
        <v>2.4609142453120048</v>
      </c>
      <c r="R665" s="1">
        <f t="shared" si="64"/>
        <v>484.43096918966813</v>
      </c>
      <c r="S665" s="1">
        <f t="shared" si="65"/>
        <v>0.43096918966813291</v>
      </c>
    </row>
    <row r="666" spans="1:19" x14ac:dyDescent="0.35">
      <c r="A666">
        <v>665</v>
      </c>
      <c r="B666" t="s">
        <v>40</v>
      </c>
      <c r="C666">
        <v>500</v>
      </c>
      <c r="D666" t="s">
        <v>32</v>
      </c>
      <c r="E666">
        <v>60</v>
      </c>
      <c r="F666">
        <v>4</v>
      </c>
      <c r="G666">
        <v>379</v>
      </c>
      <c r="H666">
        <v>349</v>
      </c>
      <c r="I666">
        <v>74</v>
      </c>
      <c r="J666">
        <v>4</v>
      </c>
      <c r="K666" t="s">
        <v>14</v>
      </c>
      <c r="L666" t="s">
        <v>41</v>
      </c>
      <c r="M666">
        <v>3</v>
      </c>
      <c r="N666">
        <f t="shared" si="60"/>
        <v>1800</v>
      </c>
      <c r="O666">
        <f t="shared" si="61"/>
        <v>1764</v>
      </c>
      <c r="P666" s="1">
        <f t="shared" si="62"/>
        <v>23.837837837837839</v>
      </c>
      <c r="Q666" s="1">
        <f t="shared" si="63"/>
        <v>1.9373154697137058</v>
      </c>
      <c r="R666" s="1">
        <f t="shared" si="64"/>
        <v>381.36055021314297</v>
      </c>
      <c r="S666" s="1">
        <f t="shared" si="65"/>
        <v>2.3605502131429716</v>
      </c>
    </row>
    <row r="667" spans="1:19" x14ac:dyDescent="0.35">
      <c r="A667">
        <v>666</v>
      </c>
      <c r="B667" t="s">
        <v>40</v>
      </c>
      <c r="C667">
        <v>500</v>
      </c>
      <c r="D667" t="s">
        <v>32</v>
      </c>
      <c r="E667">
        <v>60</v>
      </c>
      <c r="F667">
        <v>4</v>
      </c>
      <c r="G667">
        <v>286</v>
      </c>
      <c r="H667">
        <v>462</v>
      </c>
      <c r="I667">
        <v>55</v>
      </c>
      <c r="J667">
        <v>4</v>
      </c>
      <c r="K667" t="s">
        <v>14</v>
      </c>
      <c r="L667" t="s">
        <v>41</v>
      </c>
      <c r="M667">
        <v>3</v>
      </c>
      <c r="N667">
        <f t="shared" si="60"/>
        <v>1800</v>
      </c>
      <c r="O667">
        <f t="shared" si="61"/>
        <v>1764</v>
      </c>
      <c r="P667" s="1">
        <f t="shared" si="62"/>
        <v>32.072727272727271</v>
      </c>
      <c r="Q667" s="1">
        <f t="shared" si="63"/>
        <v>1.439896632895322</v>
      </c>
      <c r="R667" s="1">
        <f t="shared" si="64"/>
        <v>283.44365218544414</v>
      </c>
      <c r="S667" s="1">
        <f t="shared" si="65"/>
        <v>-2.5563478145558634</v>
      </c>
    </row>
    <row r="668" spans="1:19" x14ac:dyDescent="0.35">
      <c r="A668">
        <v>667</v>
      </c>
      <c r="B668" t="s">
        <v>40</v>
      </c>
      <c r="C668">
        <v>500</v>
      </c>
      <c r="D668" t="s">
        <v>32</v>
      </c>
      <c r="E668">
        <v>60</v>
      </c>
      <c r="F668">
        <v>4</v>
      </c>
      <c r="G668">
        <v>268</v>
      </c>
      <c r="H668">
        <v>493</v>
      </c>
      <c r="I668">
        <v>52</v>
      </c>
      <c r="J668">
        <v>4</v>
      </c>
      <c r="K668" t="s">
        <v>14</v>
      </c>
      <c r="L668" t="s">
        <v>41</v>
      </c>
      <c r="M668">
        <v>3</v>
      </c>
      <c r="N668">
        <f t="shared" si="60"/>
        <v>1800</v>
      </c>
      <c r="O668">
        <f t="shared" si="61"/>
        <v>1764</v>
      </c>
      <c r="P668" s="1">
        <f t="shared" si="62"/>
        <v>33.92307692307692</v>
      </c>
      <c r="Q668" s="1">
        <f t="shared" si="63"/>
        <v>1.3613568165555772</v>
      </c>
      <c r="R668" s="1">
        <f t="shared" si="64"/>
        <v>267.98308933896539</v>
      </c>
      <c r="S668" s="1">
        <f t="shared" si="65"/>
        <v>-1.6910661034614805E-2</v>
      </c>
    </row>
    <row r="669" spans="1:19" x14ac:dyDescent="0.35">
      <c r="A669">
        <v>668</v>
      </c>
      <c r="B669" t="s">
        <v>40</v>
      </c>
      <c r="C669">
        <v>500</v>
      </c>
      <c r="D669" t="s">
        <v>32</v>
      </c>
      <c r="E669">
        <v>60</v>
      </c>
      <c r="F669">
        <v>4</v>
      </c>
      <c r="G669">
        <v>232</v>
      </c>
      <c r="H669">
        <v>571</v>
      </c>
      <c r="I669">
        <v>45</v>
      </c>
      <c r="J669">
        <v>4</v>
      </c>
      <c r="K669" t="s">
        <v>14</v>
      </c>
      <c r="L669" t="s">
        <v>41</v>
      </c>
      <c r="M669">
        <v>3</v>
      </c>
      <c r="N669">
        <f t="shared" si="60"/>
        <v>1800</v>
      </c>
      <c r="O669">
        <f t="shared" si="61"/>
        <v>1764</v>
      </c>
      <c r="P669" s="1">
        <f t="shared" si="62"/>
        <v>39.200000000000003</v>
      </c>
      <c r="Q669" s="1">
        <f t="shared" si="63"/>
        <v>1.1780972450961724</v>
      </c>
      <c r="R669" s="1">
        <f t="shared" si="64"/>
        <v>231.90844269718153</v>
      </c>
      <c r="S669" s="1">
        <f t="shared" si="65"/>
        <v>-9.1557302818472408E-2</v>
      </c>
    </row>
    <row r="670" spans="1:19" x14ac:dyDescent="0.35">
      <c r="A670">
        <v>669</v>
      </c>
      <c r="B670" t="s">
        <v>40</v>
      </c>
      <c r="C670">
        <v>500</v>
      </c>
      <c r="D670" t="s">
        <v>32</v>
      </c>
      <c r="E670">
        <v>60</v>
      </c>
      <c r="F670">
        <v>4</v>
      </c>
      <c r="G670">
        <v>192</v>
      </c>
      <c r="H670">
        <v>687</v>
      </c>
      <c r="I670">
        <v>37</v>
      </c>
      <c r="J670">
        <v>4</v>
      </c>
      <c r="K670" t="s">
        <v>14</v>
      </c>
      <c r="L670" t="s">
        <v>41</v>
      </c>
      <c r="M670">
        <v>3</v>
      </c>
      <c r="N670">
        <f t="shared" si="60"/>
        <v>1800</v>
      </c>
      <c r="O670">
        <f t="shared" si="61"/>
        <v>1764</v>
      </c>
      <c r="P670" s="1">
        <f t="shared" si="62"/>
        <v>47.675675675675677</v>
      </c>
      <c r="Q670" s="1">
        <f t="shared" si="63"/>
        <v>0.96865773485685291</v>
      </c>
      <c r="R670" s="1">
        <f t="shared" si="64"/>
        <v>190.68027510657149</v>
      </c>
      <c r="S670" s="1">
        <f t="shared" si="65"/>
        <v>-1.3197248934285142</v>
      </c>
    </row>
    <row r="671" spans="1:19" x14ac:dyDescent="0.35">
      <c r="A671">
        <v>670</v>
      </c>
      <c r="B671" t="s">
        <v>42</v>
      </c>
      <c r="C671">
        <v>500</v>
      </c>
      <c r="D671" t="s">
        <v>32</v>
      </c>
      <c r="E671">
        <v>75</v>
      </c>
      <c r="F671">
        <v>40</v>
      </c>
      <c r="G671">
        <v>750</v>
      </c>
      <c r="H671">
        <v>1763</v>
      </c>
      <c r="I671">
        <v>146</v>
      </c>
      <c r="J671">
        <v>4</v>
      </c>
      <c r="K671" t="s">
        <v>14</v>
      </c>
      <c r="L671" t="s">
        <v>43</v>
      </c>
      <c r="M671">
        <v>3</v>
      </c>
      <c r="N671">
        <f t="shared" si="60"/>
        <v>1800</v>
      </c>
      <c r="O671">
        <f t="shared" si="61"/>
        <v>1764</v>
      </c>
      <c r="P671" s="1">
        <f t="shared" si="62"/>
        <v>12.082191780821917</v>
      </c>
      <c r="Q671" s="1">
        <f t="shared" si="63"/>
        <v>3.8222710618675815</v>
      </c>
      <c r="R671" s="1">
        <f t="shared" si="64"/>
        <v>752.4140585286334</v>
      </c>
      <c r="S671" s="1">
        <f t="shared" si="65"/>
        <v>2.4140585286334044</v>
      </c>
    </row>
    <row r="672" spans="1:19" x14ac:dyDescent="0.35">
      <c r="A672">
        <v>671</v>
      </c>
      <c r="B672" t="s">
        <v>42</v>
      </c>
      <c r="C672">
        <v>500</v>
      </c>
      <c r="D672" t="s">
        <v>32</v>
      </c>
      <c r="E672">
        <v>75</v>
      </c>
      <c r="F672">
        <v>40</v>
      </c>
      <c r="G672">
        <v>590</v>
      </c>
      <c r="H672">
        <v>2241</v>
      </c>
      <c r="I672">
        <v>114</v>
      </c>
      <c r="J672">
        <v>4</v>
      </c>
      <c r="K672" t="s">
        <v>14</v>
      </c>
      <c r="L672" t="s">
        <v>43</v>
      </c>
      <c r="M672">
        <v>3</v>
      </c>
      <c r="N672">
        <f t="shared" si="60"/>
        <v>1800</v>
      </c>
      <c r="O672">
        <f t="shared" si="61"/>
        <v>1764</v>
      </c>
      <c r="P672" s="1">
        <f t="shared" si="62"/>
        <v>15.473684210526315</v>
      </c>
      <c r="Q672" s="1">
        <f t="shared" si="63"/>
        <v>2.9845130209103035</v>
      </c>
      <c r="R672" s="1">
        <f t="shared" si="64"/>
        <v>587.50138816619324</v>
      </c>
      <c r="S672" s="1">
        <f t="shared" si="65"/>
        <v>-2.4986118338067627</v>
      </c>
    </row>
    <row r="673" spans="1:19" x14ac:dyDescent="0.35">
      <c r="A673">
        <v>672</v>
      </c>
      <c r="B673" t="s">
        <v>42</v>
      </c>
      <c r="C673">
        <v>500</v>
      </c>
      <c r="D673" t="s">
        <v>32</v>
      </c>
      <c r="E673">
        <v>75</v>
      </c>
      <c r="F673">
        <v>40</v>
      </c>
      <c r="G673">
        <v>468</v>
      </c>
      <c r="H673">
        <v>2825</v>
      </c>
      <c r="I673">
        <v>91</v>
      </c>
      <c r="J673">
        <v>4</v>
      </c>
      <c r="K673" t="s">
        <v>14</v>
      </c>
      <c r="L673" t="s">
        <v>43</v>
      </c>
      <c r="M673">
        <v>3</v>
      </c>
      <c r="N673">
        <f t="shared" si="60"/>
        <v>1800</v>
      </c>
      <c r="O673">
        <f t="shared" si="61"/>
        <v>1764</v>
      </c>
      <c r="P673" s="1">
        <f t="shared" si="62"/>
        <v>19.384615384615383</v>
      </c>
      <c r="Q673" s="1">
        <f t="shared" si="63"/>
        <v>2.3823744289722599</v>
      </c>
      <c r="R673" s="1">
        <f t="shared" si="64"/>
        <v>468.97040634318938</v>
      </c>
      <c r="S673" s="1">
        <f t="shared" si="65"/>
        <v>0.97040634318938146</v>
      </c>
    </row>
    <row r="674" spans="1:19" x14ac:dyDescent="0.35">
      <c r="A674">
        <v>673</v>
      </c>
      <c r="B674" t="s">
        <v>42</v>
      </c>
      <c r="C674">
        <v>500</v>
      </c>
      <c r="D674" t="s">
        <v>32</v>
      </c>
      <c r="E674">
        <v>75</v>
      </c>
      <c r="F674">
        <v>30</v>
      </c>
      <c r="G674">
        <v>750</v>
      </c>
      <c r="H674">
        <v>1322</v>
      </c>
      <c r="I674">
        <v>146</v>
      </c>
      <c r="J674">
        <v>4</v>
      </c>
      <c r="K674" t="s">
        <v>14</v>
      </c>
      <c r="L674" t="s">
        <v>43</v>
      </c>
      <c r="M674">
        <v>3</v>
      </c>
      <c r="N674">
        <f t="shared" si="60"/>
        <v>1800</v>
      </c>
      <c r="O674">
        <f t="shared" si="61"/>
        <v>1764</v>
      </c>
      <c r="P674" s="1">
        <f t="shared" si="62"/>
        <v>12.082191780821917</v>
      </c>
      <c r="Q674" s="1">
        <f t="shared" si="63"/>
        <v>3.8222710618675815</v>
      </c>
      <c r="R674" s="1">
        <f t="shared" si="64"/>
        <v>752.4140585286334</v>
      </c>
      <c r="S674" s="1">
        <f t="shared" si="65"/>
        <v>2.4140585286334044</v>
      </c>
    </row>
    <row r="675" spans="1:19" x14ac:dyDescent="0.35">
      <c r="A675">
        <v>674</v>
      </c>
      <c r="B675" t="s">
        <v>42</v>
      </c>
      <c r="C675">
        <v>500</v>
      </c>
      <c r="D675" t="s">
        <v>32</v>
      </c>
      <c r="E675">
        <v>75</v>
      </c>
      <c r="F675">
        <v>30</v>
      </c>
      <c r="G675">
        <v>590</v>
      </c>
      <c r="H675">
        <v>1680</v>
      </c>
      <c r="I675">
        <v>114</v>
      </c>
      <c r="J675">
        <v>4</v>
      </c>
      <c r="K675" t="s">
        <v>14</v>
      </c>
      <c r="L675" t="s">
        <v>43</v>
      </c>
      <c r="M675">
        <v>3</v>
      </c>
      <c r="N675">
        <f t="shared" si="60"/>
        <v>1800</v>
      </c>
      <c r="O675">
        <f t="shared" si="61"/>
        <v>1764</v>
      </c>
      <c r="P675" s="1">
        <f t="shared" si="62"/>
        <v>15.473684210526315</v>
      </c>
      <c r="Q675" s="1">
        <f t="shared" si="63"/>
        <v>2.9845130209103035</v>
      </c>
      <c r="R675" s="1">
        <f t="shared" si="64"/>
        <v>587.50138816619324</v>
      </c>
      <c r="S675" s="1">
        <f t="shared" si="65"/>
        <v>-2.4986118338067627</v>
      </c>
    </row>
    <row r="676" spans="1:19" x14ac:dyDescent="0.35">
      <c r="A676">
        <v>675</v>
      </c>
      <c r="B676" t="s">
        <v>42</v>
      </c>
      <c r="C676">
        <v>500</v>
      </c>
      <c r="D676" t="s">
        <v>32</v>
      </c>
      <c r="E676">
        <v>75</v>
      </c>
      <c r="F676">
        <v>30</v>
      </c>
      <c r="G676">
        <v>468</v>
      </c>
      <c r="H676">
        <v>2119</v>
      </c>
      <c r="I676">
        <v>91</v>
      </c>
      <c r="J676">
        <v>4</v>
      </c>
      <c r="K676" t="s">
        <v>14</v>
      </c>
      <c r="L676" t="s">
        <v>43</v>
      </c>
      <c r="M676">
        <v>3</v>
      </c>
      <c r="N676">
        <f t="shared" si="60"/>
        <v>1800</v>
      </c>
      <c r="O676">
        <f t="shared" si="61"/>
        <v>1764</v>
      </c>
      <c r="P676" s="1">
        <f t="shared" si="62"/>
        <v>19.384615384615383</v>
      </c>
      <c r="Q676" s="1">
        <f t="shared" si="63"/>
        <v>2.3823744289722599</v>
      </c>
      <c r="R676" s="1">
        <f t="shared" si="64"/>
        <v>468.97040634318938</v>
      </c>
      <c r="S676" s="1">
        <f t="shared" si="65"/>
        <v>0.97040634318938146</v>
      </c>
    </row>
    <row r="677" spans="1:19" x14ac:dyDescent="0.35">
      <c r="A677">
        <v>676</v>
      </c>
      <c r="B677" t="s">
        <v>42</v>
      </c>
      <c r="C677">
        <v>500</v>
      </c>
      <c r="D677" t="s">
        <v>32</v>
      </c>
      <c r="E677">
        <v>75</v>
      </c>
      <c r="F677">
        <v>30</v>
      </c>
      <c r="G677">
        <v>368</v>
      </c>
      <c r="H677">
        <v>2694</v>
      </c>
      <c r="I677">
        <v>71</v>
      </c>
      <c r="J677">
        <v>4</v>
      </c>
      <c r="K677" t="s">
        <v>14</v>
      </c>
      <c r="L677" t="s">
        <v>43</v>
      </c>
      <c r="M677">
        <v>3</v>
      </c>
      <c r="N677">
        <f t="shared" si="60"/>
        <v>1800</v>
      </c>
      <c r="O677">
        <f t="shared" si="61"/>
        <v>1764</v>
      </c>
      <c r="P677" s="1">
        <f t="shared" si="62"/>
        <v>24.845070422535212</v>
      </c>
      <c r="Q677" s="1">
        <f t="shared" si="63"/>
        <v>1.858775653373961</v>
      </c>
      <c r="R677" s="1">
        <f t="shared" si="64"/>
        <v>365.89998736666422</v>
      </c>
      <c r="S677" s="1">
        <f t="shared" si="65"/>
        <v>-2.1000126333357798</v>
      </c>
    </row>
    <row r="678" spans="1:19" x14ac:dyDescent="0.35">
      <c r="A678">
        <v>677</v>
      </c>
      <c r="B678" t="s">
        <v>42</v>
      </c>
      <c r="C678">
        <v>500</v>
      </c>
      <c r="D678" t="s">
        <v>32</v>
      </c>
      <c r="E678">
        <v>75</v>
      </c>
      <c r="F678">
        <v>25</v>
      </c>
      <c r="G678">
        <v>750</v>
      </c>
      <c r="H678">
        <v>1102</v>
      </c>
      <c r="I678">
        <v>146</v>
      </c>
      <c r="J678">
        <v>4</v>
      </c>
      <c r="K678" t="s">
        <v>14</v>
      </c>
      <c r="L678" t="s">
        <v>43</v>
      </c>
      <c r="M678">
        <v>3</v>
      </c>
      <c r="N678">
        <f t="shared" si="60"/>
        <v>1800</v>
      </c>
      <c r="O678">
        <f t="shared" si="61"/>
        <v>1764</v>
      </c>
      <c r="P678" s="1">
        <f t="shared" si="62"/>
        <v>12.082191780821917</v>
      </c>
      <c r="Q678" s="1">
        <f t="shared" si="63"/>
        <v>3.8222710618675815</v>
      </c>
      <c r="R678" s="1">
        <f t="shared" si="64"/>
        <v>752.4140585286334</v>
      </c>
      <c r="S678" s="1">
        <f t="shared" si="65"/>
        <v>2.4140585286334044</v>
      </c>
    </row>
    <row r="679" spans="1:19" x14ac:dyDescent="0.35">
      <c r="A679">
        <v>678</v>
      </c>
      <c r="B679" t="s">
        <v>42</v>
      </c>
      <c r="C679">
        <v>500</v>
      </c>
      <c r="D679" t="s">
        <v>32</v>
      </c>
      <c r="E679">
        <v>75</v>
      </c>
      <c r="F679">
        <v>25</v>
      </c>
      <c r="G679">
        <v>590</v>
      </c>
      <c r="H679">
        <v>1400</v>
      </c>
      <c r="I679">
        <v>114</v>
      </c>
      <c r="J679">
        <v>4</v>
      </c>
      <c r="K679" t="s">
        <v>14</v>
      </c>
      <c r="L679" t="s">
        <v>43</v>
      </c>
      <c r="M679">
        <v>3</v>
      </c>
      <c r="N679">
        <f t="shared" si="60"/>
        <v>1800</v>
      </c>
      <c r="O679">
        <f t="shared" si="61"/>
        <v>1764</v>
      </c>
      <c r="P679" s="1">
        <f t="shared" si="62"/>
        <v>15.473684210526315</v>
      </c>
      <c r="Q679" s="1">
        <f t="shared" si="63"/>
        <v>2.9845130209103035</v>
      </c>
      <c r="R679" s="1">
        <f t="shared" si="64"/>
        <v>587.50138816619324</v>
      </c>
      <c r="S679" s="1">
        <f t="shared" si="65"/>
        <v>-2.4986118338067627</v>
      </c>
    </row>
    <row r="680" spans="1:19" x14ac:dyDescent="0.35">
      <c r="A680">
        <v>679</v>
      </c>
      <c r="B680" t="s">
        <v>42</v>
      </c>
      <c r="C680">
        <v>500</v>
      </c>
      <c r="D680" t="s">
        <v>32</v>
      </c>
      <c r="E680">
        <v>75</v>
      </c>
      <c r="F680">
        <v>25</v>
      </c>
      <c r="G680">
        <v>468</v>
      </c>
      <c r="H680">
        <v>1766</v>
      </c>
      <c r="I680">
        <v>91</v>
      </c>
      <c r="J680">
        <v>4</v>
      </c>
      <c r="K680" t="s">
        <v>14</v>
      </c>
      <c r="L680" t="s">
        <v>43</v>
      </c>
      <c r="M680">
        <v>3</v>
      </c>
      <c r="N680">
        <f t="shared" si="60"/>
        <v>1800</v>
      </c>
      <c r="O680">
        <f t="shared" si="61"/>
        <v>1764</v>
      </c>
      <c r="P680" s="1">
        <f t="shared" si="62"/>
        <v>19.384615384615383</v>
      </c>
      <c r="Q680" s="1">
        <f t="shared" si="63"/>
        <v>2.3823744289722599</v>
      </c>
      <c r="R680" s="1">
        <f t="shared" si="64"/>
        <v>468.97040634318938</v>
      </c>
      <c r="S680" s="1">
        <f t="shared" si="65"/>
        <v>0.97040634318938146</v>
      </c>
    </row>
    <row r="681" spans="1:19" x14ac:dyDescent="0.35">
      <c r="A681">
        <v>680</v>
      </c>
      <c r="B681" t="s">
        <v>42</v>
      </c>
      <c r="C681">
        <v>500</v>
      </c>
      <c r="D681" t="s">
        <v>32</v>
      </c>
      <c r="E681">
        <v>75</v>
      </c>
      <c r="F681">
        <v>25</v>
      </c>
      <c r="G681">
        <v>368</v>
      </c>
      <c r="H681">
        <v>2245</v>
      </c>
      <c r="I681">
        <v>71</v>
      </c>
      <c r="J681">
        <v>4</v>
      </c>
      <c r="K681" t="s">
        <v>14</v>
      </c>
      <c r="L681" t="s">
        <v>43</v>
      </c>
      <c r="M681">
        <v>3</v>
      </c>
      <c r="N681">
        <f t="shared" si="60"/>
        <v>1800</v>
      </c>
      <c r="O681">
        <f t="shared" si="61"/>
        <v>1764</v>
      </c>
      <c r="P681" s="1">
        <f t="shared" si="62"/>
        <v>24.845070422535212</v>
      </c>
      <c r="Q681" s="1">
        <f t="shared" si="63"/>
        <v>1.858775653373961</v>
      </c>
      <c r="R681" s="1">
        <f t="shared" si="64"/>
        <v>365.89998736666422</v>
      </c>
      <c r="S681" s="1">
        <f t="shared" si="65"/>
        <v>-2.1000126333357798</v>
      </c>
    </row>
    <row r="682" spans="1:19" x14ac:dyDescent="0.35">
      <c r="A682">
        <v>681</v>
      </c>
      <c r="B682" t="s">
        <v>42</v>
      </c>
      <c r="C682">
        <v>500</v>
      </c>
      <c r="D682" t="s">
        <v>32</v>
      </c>
      <c r="E682">
        <v>75</v>
      </c>
      <c r="F682">
        <v>20</v>
      </c>
      <c r="G682">
        <v>500</v>
      </c>
      <c r="H682">
        <v>1322</v>
      </c>
      <c r="I682">
        <v>97</v>
      </c>
      <c r="J682">
        <v>6</v>
      </c>
      <c r="K682" t="s">
        <v>14</v>
      </c>
      <c r="L682" t="s">
        <v>43</v>
      </c>
      <c r="M682">
        <v>3</v>
      </c>
      <c r="N682">
        <f t="shared" si="60"/>
        <v>1200</v>
      </c>
      <c r="O682">
        <f t="shared" si="61"/>
        <v>1176</v>
      </c>
      <c r="P682" s="1">
        <f t="shared" si="62"/>
        <v>12.123711340206185</v>
      </c>
      <c r="Q682" s="1">
        <f t="shared" si="63"/>
        <v>2.5394540616517491</v>
      </c>
      <c r="R682" s="1">
        <f t="shared" si="64"/>
        <v>499.89153203614683</v>
      </c>
      <c r="S682" s="1">
        <f t="shared" si="65"/>
        <v>-0.10846796385317248</v>
      </c>
    </row>
    <row r="683" spans="1:19" x14ac:dyDescent="0.35">
      <c r="A683">
        <v>682</v>
      </c>
      <c r="B683" t="s">
        <v>42</v>
      </c>
      <c r="C683">
        <v>500</v>
      </c>
      <c r="D683" t="s">
        <v>32</v>
      </c>
      <c r="E683">
        <v>75</v>
      </c>
      <c r="F683">
        <v>20</v>
      </c>
      <c r="G683">
        <v>393</v>
      </c>
      <c r="H683">
        <v>1680</v>
      </c>
      <c r="I683">
        <v>76</v>
      </c>
      <c r="J683">
        <v>6</v>
      </c>
      <c r="K683" t="s">
        <v>14</v>
      </c>
      <c r="L683" t="s">
        <v>43</v>
      </c>
      <c r="M683">
        <v>3</v>
      </c>
      <c r="N683">
        <f t="shared" si="60"/>
        <v>1200</v>
      </c>
      <c r="O683">
        <f t="shared" si="61"/>
        <v>1176</v>
      </c>
      <c r="P683" s="1">
        <f t="shared" si="62"/>
        <v>15.473684210526315</v>
      </c>
      <c r="Q683" s="1">
        <f t="shared" si="63"/>
        <v>1.9896753472735356</v>
      </c>
      <c r="R683" s="1">
        <f t="shared" si="64"/>
        <v>391.66759211079545</v>
      </c>
      <c r="S683" s="1">
        <f t="shared" si="65"/>
        <v>-1.3324078892045463</v>
      </c>
    </row>
    <row r="684" spans="1:19" x14ac:dyDescent="0.35">
      <c r="A684">
        <v>683</v>
      </c>
      <c r="B684" t="s">
        <v>42</v>
      </c>
      <c r="C684">
        <v>500</v>
      </c>
      <c r="D684" t="s">
        <v>32</v>
      </c>
      <c r="E684">
        <v>75</v>
      </c>
      <c r="F684">
        <v>20</v>
      </c>
      <c r="G684">
        <v>312</v>
      </c>
      <c r="H684">
        <v>2119</v>
      </c>
      <c r="I684">
        <v>61</v>
      </c>
      <c r="J684">
        <v>6</v>
      </c>
      <c r="K684" t="s">
        <v>14</v>
      </c>
      <c r="L684" t="s">
        <v>43</v>
      </c>
      <c r="M684">
        <v>3</v>
      </c>
      <c r="N684">
        <f t="shared" si="60"/>
        <v>1200</v>
      </c>
      <c r="O684">
        <f t="shared" si="61"/>
        <v>1176</v>
      </c>
      <c r="P684" s="1">
        <f t="shared" si="62"/>
        <v>19.278688524590162</v>
      </c>
      <c r="Q684" s="1">
        <f t="shared" si="63"/>
        <v>1.5969762655748114</v>
      </c>
      <c r="R684" s="1">
        <f t="shared" si="64"/>
        <v>314.36477787840164</v>
      </c>
      <c r="S684" s="1">
        <f t="shared" si="65"/>
        <v>2.3647778784016396</v>
      </c>
    </row>
    <row r="685" spans="1:19" x14ac:dyDescent="0.35">
      <c r="A685">
        <v>684</v>
      </c>
      <c r="B685" t="s">
        <v>42</v>
      </c>
      <c r="C685">
        <v>500</v>
      </c>
      <c r="D685" t="s">
        <v>32</v>
      </c>
      <c r="E685">
        <v>75</v>
      </c>
      <c r="F685">
        <v>20</v>
      </c>
      <c r="G685">
        <v>245</v>
      </c>
      <c r="H685">
        <v>2694</v>
      </c>
      <c r="I685">
        <v>48</v>
      </c>
      <c r="J685">
        <v>6</v>
      </c>
      <c r="K685" t="s">
        <v>14</v>
      </c>
      <c r="L685" t="s">
        <v>43</v>
      </c>
      <c r="M685">
        <v>3</v>
      </c>
      <c r="N685">
        <f t="shared" si="60"/>
        <v>1200</v>
      </c>
      <c r="O685">
        <f t="shared" si="61"/>
        <v>1176</v>
      </c>
      <c r="P685" s="1">
        <f t="shared" si="62"/>
        <v>24.5</v>
      </c>
      <c r="Q685" s="1">
        <f t="shared" si="63"/>
        <v>1.2566370614359172</v>
      </c>
      <c r="R685" s="1">
        <f t="shared" si="64"/>
        <v>247.36900554366031</v>
      </c>
      <c r="S685" s="1">
        <f t="shared" si="65"/>
        <v>2.3690055436603075</v>
      </c>
    </row>
    <row r="686" spans="1:19" x14ac:dyDescent="0.35">
      <c r="A686">
        <v>685</v>
      </c>
      <c r="B686" t="s">
        <v>44</v>
      </c>
      <c r="C686">
        <v>600</v>
      </c>
      <c r="D686" t="s">
        <v>32</v>
      </c>
      <c r="E686">
        <v>100</v>
      </c>
      <c r="F686">
        <v>75</v>
      </c>
      <c r="G686">
        <v>925</v>
      </c>
      <c r="H686">
        <v>2550</v>
      </c>
      <c r="I686">
        <v>148</v>
      </c>
      <c r="J686">
        <v>4</v>
      </c>
      <c r="K686" t="s">
        <v>14</v>
      </c>
      <c r="L686" t="s">
        <v>45</v>
      </c>
      <c r="M686">
        <v>3</v>
      </c>
      <c r="N686">
        <f t="shared" si="60"/>
        <v>1800</v>
      </c>
      <c r="O686">
        <f t="shared" si="61"/>
        <v>1764</v>
      </c>
      <c r="P686" s="1">
        <f t="shared" si="62"/>
        <v>11.918918918918919</v>
      </c>
      <c r="Q686" s="1">
        <f t="shared" si="63"/>
        <v>4.6495571273128942</v>
      </c>
      <c r="R686" s="1">
        <f t="shared" si="64"/>
        <v>915.26532051154322</v>
      </c>
      <c r="S686" s="1">
        <f t="shared" si="65"/>
        <v>-9.7346794884567771</v>
      </c>
    </row>
    <row r="687" spans="1:19" x14ac:dyDescent="0.35">
      <c r="A687">
        <v>686</v>
      </c>
      <c r="B687" t="s">
        <v>44</v>
      </c>
      <c r="C687">
        <v>600</v>
      </c>
      <c r="D687" t="s">
        <v>32</v>
      </c>
      <c r="E687">
        <v>100</v>
      </c>
      <c r="F687">
        <v>75</v>
      </c>
      <c r="G687">
        <v>729</v>
      </c>
      <c r="H687">
        <v>3235</v>
      </c>
      <c r="I687">
        <v>117</v>
      </c>
      <c r="J687">
        <v>4</v>
      </c>
      <c r="K687" t="s">
        <v>14</v>
      </c>
      <c r="L687" t="s">
        <v>45</v>
      </c>
      <c r="M687">
        <v>3</v>
      </c>
      <c r="N687">
        <f t="shared" si="60"/>
        <v>1800</v>
      </c>
      <c r="O687">
        <f t="shared" si="61"/>
        <v>1764</v>
      </c>
      <c r="P687" s="1">
        <f t="shared" si="62"/>
        <v>15.076923076923077</v>
      </c>
      <c r="Q687" s="1">
        <f t="shared" si="63"/>
        <v>3.6756634047000576</v>
      </c>
      <c r="R687" s="1">
        <f t="shared" si="64"/>
        <v>723.55434121520636</v>
      </c>
      <c r="S687" s="1">
        <f t="shared" si="65"/>
        <v>-5.4456587847936362</v>
      </c>
    </row>
    <row r="688" spans="1:19" x14ac:dyDescent="0.35">
      <c r="A688">
        <v>687</v>
      </c>
      <c r="B688" t="s">
        <v>44</v>
      </c>
      <c r="C688">
        <v>600</v>
      </c>
      <c r="D688" t="s">
        <v>32</v>
      </c>
      <c r="E688">
        <v>100</v>
      </c>
      <c r="F688">
        <v>75</v>
      </c>
      <c r="G688">
        <v>578</v>
      </c>
      <c r="H688">
        <v>4085</v>
      </c>
      <c r="I688">
        <v>93</v>
      </c>
      <c r="J688">
        <v>4</v>
      </c>
      <c r="K688" t="s">
        <v>14</v>
      </c>
      <c r="L688" t="s">
        <v>45</v>
      </c>
      <c r="M688">
        <v>3</v>
      </c>
      <c r="N688">
        <f t="shared" si="60"/>
        <v>1800</v>
      </c>
      <c r="O688">
        <f t="shared" si="61"/>
        <v>1764</v>
      </c>
      <c r="P688" s="1">
        <f t="shared" si="62"/>
        <v>18.967741935483872</v>
      </c>
      <c r="Q688" s="1">
        <f t="shared" si="63"/>
        <v>2.9216811678385075</v>
      </c>
      <c r="R688" s="1">
        <f t="shared" si="64"/>
        <v>575.13293788901024</v>
      </c>
      <c r="S688" s="1">
        <f t="shared" si="65"/>
        <v>-2.8670621109897638</v>
      </c>
    </row>
    <row r="689" spans="1:19" x14ac:dyDescent="0.35">
      <c r="A689">
        <v>688</v>
      </c>
      <c r="B689" t="s">
        <v>44</v>
      </c>
      <c r="C689">
        <v>600</v>
      </c>
      <c r="D689" t="s">
        <v>32</v>
      </c>
      <c r="E689">
        <v>100</v>
      </c>
      <c r="F689">
        <v>75</v>
      </c>
      <c r="G689">
        <v>463</v>
      </c>
      <c r="H689">
        <v>5000</v>
      </c>
      <c r="I689">
        <v>74</v>
      </c>
      <c r="J689">
        <v>4</v>
      </c>
      <c r="K689" t="s">
        <v>14</v>
      </c>
      <c r="L689" t="s">
        <v>45</v>
      </c>
      <c r="M689">
        <v>3</v>
      </c>
      <c r="N689">
        <f t="shared" si="60"/>
        <v>1800</v>
      </c>
      <c r="O689">
        <f t="shared" si="61"/>
        <v>1764</v>
      </c>
      <c r="P689" s="1">
        <f t="shared" si="62"/>
        <v>23.837837837837839</v>
      </c>
      <c r="Q689" s="1">
        <f t="shared" si="63"/>
        <v>2.3247785636564471</v>
      </c>
      <c r="R689" s="1">
        <f t="shared" si="64"/>
        <v>457.63266025577161</v>
      </c>
      <c r="S689" s="1">
        <f t="shared" si="65"/>
        <v>-5.3673397442283886</v>
      </c>
    </row>
    <row r="690" spans="1:19" x14ac:dyDescent="0.35">
      <c r="A690">
        <v>689</v>
      </c>
      <c r="B690" t="s">
        <v>44</v>
      </c>
      <c r="C690">
        <v>600</v>
      </c>
      <c r="D690" t="s">
        <v>32</v>
      </c>
      <c r="E690">
        <v>100</v>
      </c>
      <c r="F690">
        <v>75</v>
      </c>
      <c r="G690">
        <v>364</v>
      </c>
      <c r="H690">
        <v>6479</v>
      </c>
      <c r="I690">
        <v>58</v>
      </c>
      <c r="J690">
        <v>4</v>
      </c>
      <c r="K690" t="s">
        <v>16</v>
      </c>
      <c r="L690" t="s">
        <v>45</v>
      </c>
      <c r="M690">
        <v>3</v>
      </c>
      <c r="N690">
        <f t="shared" si="60"/>
        <v>1800</v>
      </c>
      <c r="O690">
        <f t="shared" si="61"/>
        <v>1764</v>
      </c>
      <c r="P690" s="1">
        <f t="shared" si="62"/>
        <v>30.413793103448278</v>
      </c>
      <c r="Q690" s="1">
        <f t="shared" si="63"/>
        <v>1.8221237390820801</v>
      </c>
      <c r="R690" s="1">
        <f t="shared" si="64"/>
        <v>358.68505803830749</v>
      </c>
      <c r="S690" s="1">
        <f t="shared" si="65"/>
        <v>-5.3149419616925115</v>
      </c>
    </row>
    <row r="691" spans="1:19" x14ac:dyDescent="0.35">
      <c r="A691">
        <v>690</v>
      </c>
      <c r="B691" t="s">
        <v>44</v>
      </c>
      <c r="C691">
        <v>600</v>
      </c>
      <c r="D691" t="s">
        <v>32</v>
      </c>
      <c r="E691">
        <v>100</v>
      </c>
      <c r="F691">
        <v>60</v>
      </c>
      <c r="G691">
        <v>463</v>
      </c>
      <c r="H691">
        <v>4076</v>
      </c>
      <c r="I691">
        <v>74</v>
      </c>
      <c r="J691">
        <v>4</v>
      </c>
      <c r="K691" t="s">
        <v>14</v>
      </c>
      <c r="L691" t="s">
        <v>45</v>
      </c>
      <c r="M691">
        <v>3</v>
      </c>
      <c r="N691">
        <f t="shared" si="60"/>
        <v>1800</v>
      </c>
      <c r="O691">
        <f t="shared" si="61"/>
        <v>1764</v>
      </c>
      <c r="P691" s="1">
        <f t="shared" si="62"/>
        <v>23.837837837837839</v>
      </c>
      <c r="Q691" s="1">
        <f t="shared" si="63"/>
        <v>2.3247785636564471</v>
      </c>
      <c r="R691" s="1">
        <f t="shared" si="64"/>
        <v>457.63266025577161</v>
      </c>
      <c r="S691" s="1">
        <f t="shared" si="65"/>
        <v>-5.3673397442283886</v>
      </c>
    </row>
    <row r="692" spans="1:19" x14ac:dyDescent="0.35">
      <c r="A692">
        <v>691</v>
      </c>
      <c r="B692" t="s">
        <v>44</v>
      </c>
      <c r="C692">
        <v>600</v>
      </c>
      <c r="D692" t="s">
        <v>32</v>
      </c>
      <c r="E692">
        <v>100</v>
      </c>
      <c r="F692">
        <v>60</v>
      </c>
      <c r="G692">
        <v>364</v>
      </c>
      <c r="H692">
        <v>5183</v>
      </c>
      <c r="I692">
        <v>58</v>
      </c>
      <c r="J692">
        <v>4</v>
      </c>
      <c r="K692" t="s">
        <v>16</v>
      </c>
      <c r="L692" t="s">
        <v>45</v>
      </c>
      <c r="M692">
        <v>3</v>
      </c>
      <c r="N692">
        <f t="shared" si="60"/>
        <v>1800</v>
      </c>
      <c r="O692">
        <f t="shared" si="61"/>
        <v>1764</v>
      </c>
      <c r="P692" s="1">
        <f t="shared" si="62"/>
        <v>30.413793103448278</v>
      </c>
      <c r="Q692" s="1">
        <f t="shared" si="63"/>
        <v>1.8221237390820801</v>
      </c>
      <c r="R692" s="1">
        <f t="shared" si="64"/>
        <v>358.68505803830749</v>
      </c>
      <c r="S692" s="1">
        <f t="shared" si="65"/>
        <v>-5.3149419616925115</v>
      </c>
    </row>
    <row r="693" spans="1:19" x14ac:dyDescent="0.35">
      <c r="A693">
        <v>692</v>
      </c>
      <c r="B693" t="s">
        <v>44</v>
      </c>
      <c r="C693">
        <v>600</v>
      </c>
      <c r="D693" t="s">
        <v>32</v>
      </c>
      <c r="E693">
        <v>100</v>
      </c>
      <c r="F693">
        <v>60</v>
      </c>
      <c r="G693">
        <v>303</v>
      </c>
      <c r="H693">
        <v>6220</v>
      </c>
      <c r="I693">
        <v>49</v>
      </c>
      <c r="J693">
        <v>4</v>
      </c>
      <c r="K693" t="s">
        <v>16</v>
      </c>
      <c r="L693" t="s">
        <v>45</v>
      </c>
      <c r="M693">
        <v>3</v>
      </c>
      <c r="N693">
        <f t="shared" si="60"/>
        <v>1800</v>
      </c>
      <c r="O693">
        <f t="shared" si="61"/>
        <v>1764</v>
      </c>
      <c r="P693" s="1">
        <f t="shared" si="62"/>
        <v>36</v>
      </c>
      <c r="Q693" s="1">
        <f t="shared" si="63"/>
        <v>1.5393804002589986</v>
      </c>
      <c r="R693" s="1">
        <f t="shared" si="64"/>
        <v>303.02703179098387</v>
      </c>
      <c r="S693" s="1">
        <f t="shared" si="65"/>
        <v>2.7031790983869541E-2</v>
      </c>
    </row>
    <row r="694" spans="1:19" x14ac:dyDescent="0.35">
      <c r="A694">
        <v>693</v>
      </c>
      <c r="B694" t="s">
        <v>44</v>
      </c>
      <c r="C694">
        <v>600</v>
      </c>
      <c r="D694" t="s">
        <v>32</v>
      </c>
      <c r="E694">
        <v>100</v>
      </c>
      <c r="F694">
        <v>50</v>
      </c>
      <c r="G694">
        <v>364</v>
      </c>
      <c r="H694">
        <v>4319</v>
      </c>
      <c r="I694">
        <v>58</v>
      </c>
      <c r="J694">
        <v>4</v>
      </c>
      <c r="K694" t="s">
        <v>16</v>
      </c>
      <c r="L694" t="s">
        <v>45</v>
      </c>
      <c r="M694">
        <v>3</v>
      </c>
      <c r="N694">
        <f t="shared" si="60"/>
        <v>1800</v>
      </c>
      <c r="O694">
        <f t="shared" si="61"/>
        <v>1764</v>
      </c>
      <c r="P694" s="1">
        <f t="shared" si="62"/>
        <v>30.413793103448278</v>
      </c>
      <c r="Q694" s="1">
        <f t="shared" si="63"/>
        <v>1.8221237390820801</v>
      </c>
      <c r="R694" s="1">
        <f t="shared" si="64"/>
        <v>358.68505803830749</v>
      </c>
      <c r="S694" s="1">
        <f t="shared" si="65"/>
        <v>-5.3149419616925115</v>
      </c>
    </row>
    <row r="695" spans="1:19" x14ac:dyDescent="0.35">
      <c r="A695">
        <v>694</v>
      </c>
      <c r="B695" t="s">
        <v>44</v>
      </c>
      <c r="C695">
        <v>600</v>
      </c>
      <c r="D695" t="s">
        <v>32</v>
      </c>
      <c r="E695">
        <v>100</v>
      </c>
      <c r="F695">
        <v>50</v>
      </c>
      <c r="G695">
        <v>370</v>
      </c>
      <c r="H695">
        <v>4251</v>
      </c>
      <c r="I695">
        <v>59</v>
      </c>
      <c r="J695">
        <v>6</v>
      </c>
      <c r="K695" t="s">
        <v>14</v>
      </c>
      <c r="L695" t="s">
        <v>45</v>
      </c>
      <c r="M695">
        <v>3</v>
      </c>
      <c r="N695">
        <f t="shared" si="60"/>
        <v>1200</v>
      </c>
      <c r="O695">
        <f t="shared" si="61"/>
        <v>1176</v>
      </c>
      <c r="P695" s="1">
        <f t="shared" si="62"/>
        <v>19.932203389830509</v>
      </c>
      <c r="Q695" s="1">
        <f t="shared" si="63"/>
        <v>1.8535396656179779</v>
      </c>
      <c r="R695" s="1">
        <f t="shared" si="64"/>
        <v>364.86928317689893</v>
      </c>
      <c r="S695" s="1">
        <f t="shared" si="65"/>
        <v>-5.1307168231010678</v>
      </c>
    </row>
    <row r="696" spans="1:19" x14ac:dyDescent="0.35">
      <c r="A696">
        <v>695</v>
      </c>
      <c r="B696" t="s">
        <v>44</v>
      </c>
      <c r="C696">
        <v>600</v>
      </c>
      <c r="D696" t="s">
        <v>32</v>
      </c>
      <c r="E696">
        <v>100</v>
      </c>
      <c r="F696">
        <v>50</v>
      </c>
      <c r="G696">
        <v>303</v>
      </c>
      <c r="H696">
        <v>5183</v>
      </c>
      <c r="I696">
        <v>49</v>
      </c>
      <c r="J696">
        <v>4</v>
      </c>
      <c r="K696" t="s">
        <v>16</v>
      </c>
      <c r="L696" t="s">
        <v>45</v>
      </c>
      <c r="M696">
        <v>3</v>
      </c>
      <c r="N696">
        <f t="shared" si="60"/>
        <v>1800</v>
      </c>
      <c r="O696">
        <f t="shared" si="61"/>
        <v>1764</v>
      </c>
      <c r="P696" s="1">
        <f t="shared" si="62"/>
        <v>36</v>
      </c>
      <c r="Q696" s="1">
        <f t="shared" si="63"/>
        <v>1.5393804002589986</v>
      </c>
      <c r="R696" s="1">
        <f t="shared" si="64"/>
        <v>303.02703179098387</v>
      </c>
      <c r="S696" s="1">
        <f t="shared" si="65"/>
        <v>2.7031790983869541E-2</v>
      </c>
    </row>
    <row r="697" spans="1:19" x14ac:dyDescent="0.35">
      <c r="A697">
        <v>696</v>
      </c>
      <c r="B697" t="s">
        <v>44</v>
      </c>
      <c r="C697">
        <v>600</v>
      </c>
      <c r="D697" t="s">
        <v>32</v>
      </c>
      <c r="E697">
        <v>100</v>
      </c>
      <c r="F697">
        <v>50</v>
      </c>
      <c r="G697">
        <v>243</v>
      </c>
      <c r="H697">
        <v>6479</v>
      </c>
      <c r="I697">
        <v>39</v>
      </c>
      <c r="J697">
        <v>4</v>
      </c>
      <c r="K697" t="s">
        <v>16</v>
      </c>
      <c r="L697" t="s">
        <v>45</v>
      </c>
      <c r="M697">
        <v>3</v>
      </c>
      <c r="N697">
        <f t="shared" si="60"/>
        <v>1800</v>
      </c>
      <c r="O697">
        <f t="shared" si="61"/>
        <v>1764</v>
      </c>
      <c r="P697" s="1">
        <f t="shared" si="62"/>
        <v>45.230769230769234</v>
      </c>
      <c r="Q697" s="1">
        <f t="shared" si="63"/>
        <v>1.2252211349000193</v>
      </c>
      <c r="R697" s="1">
        <f t="shared" si="64"/>
        <v>241.18478040506878</v>
      </c>
      <c r="S697" s="1">
        <f t="shared" si="65"/>
        <v>-1.8152195949312215</v>
      </c>
    </row>
    <row r="698" spans="1:19" x14ac:dyDescent="0.35">
      <c r="A698">
        <v>697</v>
      </c>
      <c r="B698" t="s">
        <v>44</v>
      </c>
      <c r="C698">
        <v>600</v>
      </c>
      <c r="D698" t="s">
        <v>32</v>
      </c>
      <c r="E698">
        <v>100</v>
      </c>
      <c r="F698">
        <v>40</v>
      </c>
      <c r="G698">
        <v>364</v>
      </c>
      <c r="H698">
        <v>3455</v>
      </c>
      <c r="I698">
        <v>58</v>
      </c>
      <c r="J698">
        <v>4</v>
      </c>
      <c r="K698" t="s">
        <v>16</v>
      </c>
      <c r="L698" t="s">
        <v>45</v>
      </c>
      <c r="M698">
        <v>3</v>
      </c>
      <c r="N698">
        <f t="shared" si="60"/>
        <v>1800</v>
      </c>
      <c r="O698">
        <f t="shared" si="61"/>
        <v>1764</v>
      </c>
      <c r="P698" s="1">
        <f t="shared" si="62"/>
        <v>30.413793103448278</v>
      </c>
      <c r="Q698" s="1">
        <f t="shared" si="63"/>
        <v>1.8221237390820801</v>
      </c>
      <c r="R698" s="1">
        <f t="shared" si="64"/>
        <v>358.68505803830749</v>
      </c>
      <c r="S698" s="1">
        <f t="shared" si="65"/>
        <v>-5.3149419616925115</v>
      </c>
    </row>
    <row r="699" spans="1:19" x14ac:dyDescent="0.35">
      <c r="A699">
        <v>698</v>
      </c>
      <c r="B699" t="s">
        <v>44</v>
      </c>
      <c r="C699">
        <v>600</v>
      </c>
      <c r="D699" t="s">
        <v>32</v>
      </c>
      <c r="E699">
        <v>100</v>
      </c>
      <c r="F699">
        <v>40</v>
      </c>
      <c r="G699">
        <v>303</v>
      </c>
      <c r="H699">
        <v>4146</v>
      </c>
      <c r="I699">
        <v>49</v>
      </c>
      <c r="J699">
        <v>4</v>
      </c>
      <c r="K699" t="s">
        <v>16</v>
      </c>
      <c r="L699" t="s">
        <v>45</v>
      </c>
      <c r="M699">
        <v>3</v>
      </c>
      <c r="N699">
        <f t="shared" si="60"/>
        <v>1800</v>
      </c>
      <c r="O699">
        <f t="shared" si="61"/>
        <v>1764</v>
      </c>
      <c r="P699" s="1">
        <f t="shared" si="62"/>
        <v>36</v>
      </c>
      <c r="Q699" s="1">
        <f t="shared" si="63"/>
        <v>1.5393804002589986</v>
      </c>
      <c r="R699" s="1">
        <f t="shared" si="64"/>
        <v>303.02703179098387</v>
      </c>
      <c r="S699" s="1">
        <f t="shared" si="65"/>
        <v>2.7031790983869541E-2</v>
      </c>
    </row>
    <row r="700" spans="1:19" x14ac:dyDescent="0.35">
      <c r="A700">
        <v>699</v>
      </c>
      <c r="B700" t="s">
        <v>44</v>
      </c>
      <c r="C700">
        <v>600</v>
      </c>
      <c r="D700" t="s">
        <v>32</v>
      </c>
      <c r="E700">
        <v>100</v>
      </c>
      <c r="F700">
        <v>40</v>
      </c>
      <c r="G700">
        <v>243</v>
      </c>
      <c r="H700">
        <v>5183</v>
      </c>
      <c r="I700">
        <v>39</v>
      </c>
      <c r="J700">
        <v>4</v>
      </c>
      <c r="K700" t="s">
        <v>16</v>
      </c>
      <c r="L700" t="s">
        <v>45</v>
      </c>
      <c r="M700">
        <v>3</v>
      </c>
      <c r="N700">
        <f t="shared" si="60"/>
        <v>1800</v>
      </c>
      <c r="O700">
        <f t="shared" si="61"/>
        <v>1764</v>
      </c>
      <c r="P700" s="1">
        <f t="shared" si="62"/>
        <v>45.230769230769234</v>
      </c>
      <c r="Q700" s="1">
        <f t="shared" si="63"/>
        <v>1.2252211349000193</v>
      </c>
      <c r="R700" s="1">
        <f t="shared" si="64"/>
        <v>241.18478040506878</v>
      </c>
      <c r="S700" s="1">
        <f t="shared" si="65"/>
        <v>-1.8152195949312215</v>
      </c>
    </row>
    <row r="701" spans="1:19" x14ac:dyDescent="0.35">
      <c r="A701">
        <v>700</v>
      </c>
      <c r="B701" t="s">
        <v>44</v>
      </c>
      <c r="C701">
        <v>600</v>
      </c>
      <c r="D701" t="s">
        <v>32</v>
      </c>
      <c r="E701">
        <v>100</v>
      </c>
      <c r="F701">
        <v>30</v>
      </c>
      <c r="G701">
        <v>364</v>
      </c>
      <c r="H701">
        <v>2592</v>
      </c>
      <c r="I701">
        <v>58</v>
      </c>
      <c r="J701">
        <v>4</v>
      </c>
      <c r="K701" t="s">
        <v>16</v>
      </c>
      <c r="L701" t="s">
        <v>45</v>
      </c>
      <c r="M701">
        <v>3</v>
      </c>
      <c r="N701">
        <f t="shared" si="60"/>
        <v>1800</v>
      </c>
      <c r="O701">
        <f t="shared" si="61"/>
        <v>1764</v>
      </c>
      <c r="P701" s="1">
        <f t="shared" si="62"/>
        <v>30.413793103448278</v>
      </c>
      <c r="Q701" s="1">
        <f t="shared" si="63"/>
        <v>1.8221237390820801</v>
      </c>
      <c r="R701" s="1">
        <f t="shared" si="64"/>
        <v>358.68505803830749</v>
      </c>
      <c r="S701" s="1">
        <f t="shared" si="65"/>
        <v>-5.3149419616925115</v>
      </c>
    </row>
    <row r="702" spans="1:19" x14ac:dyDescent="0.35">
      <c r="A702">
        <v>701</v>
      </c>
      <c r="B702" t="s">
        <v>44</v>
      </c>
      <c r="C702">
        <v>600</v>
      </c>
      <c r="D702" t="s">
        <v>32</v>
      </c>
      <c r="E702">
        <v>100</v>
      </c>
      <c r="F702">
        <v>30</v>
      </c>
      <c r="G702">
        <v>303</v>
      </c>
      <c r="H702">
        <v>3110</v>
      </c>
      <c r="I702">
        <v>49</v>
      </c>
      <c r="J702">
        <v>4</v>
      </c>
      <c r="K702" t="s">
        <v>16</v>
      </c>
      <c r="L702" t="s">
        <v>45</v>
      </c>
      <c r="M702">
        <v>3</v>
      </c>
      <c r="N702">
        <f t="shared" si="60"/>
        <v>1800</v>
      </c>
      <c r="O702">
        <f t="shared" si="61"/>
        <v>1764</v>
      </c>
      <c r="P702" s="1">
        <f t="shared" si="62"/>
        <v>36</v>
      </c>
      <c r="Q702" s="1">
        <f t="shared" si="63"/>
        <v>1.5393804002589986</v>
      </c>
      <c r="R702" s="1">
        <f t="shared" si="64"/>
        <v>303.02703179098387</v>
      </c>
      <c r="S702" s="1">
        <f t="shared" si="65"/>
        <v>2.7031790983869541E-2</v>
      </c>
    </row>
    <row r="703" spans="1:19" x14ac:dyDescent="0.35">
      <c r="A703">
        <v>702</v>
      </c>
      <c r="B703" t="s">
        <v>44</v>
      </c>
      <c r="C703">
        <v>600</v>
      </c>
      <c r="D703" t="s">
        <v>32</v>
      </c>
      <c r="E703">
        <v>100</v>
      </c>
      <c r="F703">
        <v>30</v>
      </c>
      <c r="G703">
        <v>243</v>
      </c>
      <c r="H703">
        <v>3887</v>
      </c>
      <c r="I703">
        <v>39</v>
      </c>
      <c r="J703">
        <v>4</v>
      </c>
      <c r="K703" t="s">
        <v>16</v>
      </c>
      <c r="L703" t="s">
        <v>45</v>
      </c>
      <c r="M703">
        <v>3</v>
      </c>
      <c r="N703">
        <f t="shared" si="60"/>
        <v>1800</v>
      </c>
      <c r="O703">
        <f t="shared" si="61"/>
        <v>1764</v>
      </c>
      <c r="P703" s="1">
        <f t="shared" si="62"/>
        <v>45.230769230769234</v>
      </c>
      <c r="Q703" s="1">
        <f t="shared" si="63"/>
        <v>1.2252211349000193</v>
      </c>
      <c r="R703" s="1">
        <f t="shared" si="64"/>
        <v>241.18478040506878</v>
      </c>
      <c r="S703" s="1">
        <f t="shared" si="65"/>
        <v>-1.8152195949312215</v>
      </c>
    </row>
    <row r="704" spans="1:19" x14ac:dyDescent="0.35">
      <c r="A704">
        <v>703</v>
      </c>
      <c r="B704" t="s">
        <v>44</v>
      </c>
      <c r="C704">
        <v>600</v>
      </c>
      <c r="D704" t="s">
        <v>32</v>
      </c>
      <c r="E704">
        <v>100</v>
      </c>
      <c r="F704">
        <v>25</v>
      </c>
      <c r="G704">
        <v>364</v>
      </c>
      <c r="H704">
        <v>2160</v>
      </c>
      <c r="I704">
        <v>58</v>
      </c>
      <c r="J704">
        <v>4</v>
      </c>
      <c r="K704" t="s">
        <v>16</v>
      </c>
      <c r="L704" t="s">
        <v>45</v>
      </c>
      <c r="M704">
        <v>3</v>
      </c>
      <c r="N704">
        <f t="shared" si="60"/>
        <v>1800</v>
      </c>
      <c r="O704">
        <f t="shared" si="61"/>
        <v>1764</v>
      </c>
      <c r="P704" s="1">
        <f t="shared" si="62"/>
        <v>30.413793103448278</v>
      </c>
      <c r="Q704" s="1">
        <f t="shared" si="63"/>
        <v>1.8221237390820801</v>
      </c>
      <c r="R704" s="1">
        <f t="shared" si="64"/>
        <v>358.68505803830749</v>
      </c>
      <c r="S704" s="1">
        <f t="shared" si="65"/>
        <v>-5.3149419616925115</v>
      </c>
    </row>
    <row r="705" spans="1:19" x14ac:dyDescent="0.35">
      <c r="A705">
        <v>704</v>
      </c>
      <c r="B705" t="s">
        <v>44</v>
      </c>
      <c r="C705">
        <v>600</v>
      </c>
      <c r="D705" t="s">
        <v>32</v>
      </c>
      <c r="E705">
        <v>100</v>
      </c>
      <c r="F705">
        <v>25</v>
      </c>
      <c r="G705">
        <v>303</v>
      </c>
      <c r="H705">
        <v>2592</v>
      </c>
      <c r="I705">
        <v>49</v>
      </c>
      <c r="J705">
        <v>4</v>
      </c>
      <c r="K705" t="s">
        <v>16</v>
      </c>
      <c r="L705" t="s">
        <v>45</v>
      </c>
      <c r="M705">
        <v>3</v>
      </c>
      <c r="N705">
        <f t="shared" si="60"/>
        <v>1800</v>
      </c>
      <c r="O705">
        <f t="shared" si="61"/>
        <v>1764</v>
      </c>
      <c r="P705" s="1">
        <f t="shared" si="62"/>
        <v>36</v>
      </c>
      <c r="Q705" s="1">
        <f t="shared" si="63"/>
        <v>1.5393804002589986</v>
      </c>
      <c r="R705" s="1">
        <f t="shared" si="64"/>
        <v>303.02703179098387</v>
      </c>
      <c r="S705" s="1">
        <f t="shared" si="65"/>
        <v>2.7031790983869541E-2</v>
      </c>
    </row>
    <row r="706" spans="1:19" x14ac:dyDescent="0.35">
      <c r="A706">
        <v>705</v>
      </c>
      <c r="B706" t="s">
        <v>44</v>
      </c>
      <c r="C706">
        <v>600</v>
      </c>
      <c r="D706" t="s">
        <v>32</v>
      </c>
      <c r="E706">
        <v>100</v>
      </c>
      <c r="F706">
        <v>25</v>
      </c>
      <c r="G706">
        <v>243</v>
      </c>
      <c r="H706">
        <v>3239</v>
      </c>
      <c r="I706">
        <v>39</v>
      </c>
      <c r="J706">
        <v>4</v>
      </c>
      <c r="K706" t="s">
        <v>16</v>
      </c>
      <c r="L706" t="s">
        <v>45</v>
      </c>
      <c r="M706">
        <v>3</v>
      </c>
      <c r="N706">
        <f t="shared" si="60"/>
        <v>1800</v>
      </c>
      <c r="O706">
        <f t="shared" si="61"/>
        <v>1764</v>
      </c>
      <c r="P706" s="1">
        <f t="shared" si="62"/>
        <v>45.230769230769234</v>
      </c>
      <c r="Q706" s="1">
        <f t="shared" si="63"/>
        <v>1.2252211349000193</v>
      </c>
      <c r="R706" s="1">
        <f t="shared" si="64"/>
        <v>241.18478040506878</v>
      </c>
      <c r="S706" s="1">
        <f t="shared" si="65"/>
        <v>-1.8152195949312215</v>
      </c>
    </row>
    <row r="707" spans="1:19" x14ac:dyDescent="0.35">
      <c r="A707">
        <v>706</v>
      </c>
      <c r="B707" t="s">
        <v>44</v>
      </c>
      <c r="C707">
        <v>600</v>
      </c>
      <c r="D707" t="s">
        <v>32</v>
      </c>
      <c r="E707">
        <v>100</v>
      </c>
      <c r="F707">
        <v>20</v>
      </c>
      <c r="G707">
        <v>243</v>
      </c>
      <c r="H707">
        <v>2592</v>
      </c>
      <c r="I707">
        <v>39</v>
      </c>
      <c r="J707">
        <v>6</v>
      </c>
      <c r="K707" t="s">
        <v>16</v>
      </c>
      <c r="L707" t="s">
        <v>45</v>
      </c>
      <c r="M707">
        <v>3</v>
      </c>
      <c r="N707">
        <f t="shared" ref="N707:N770" si="66">60*60*2/J707</f>
        <v>1200</v>
      </c>
      <c r="O707">
        <f t="shared" ref="O707:O770" si="67">N707*(1-0.02)</f>
        <v>1176</v>
      </c>
      <c r="P707" s="1">
        <f t="shared" ref="P707:P770" si="68">O707/I707</f>
        <v>30.153846153846153</v>
      </c>
      <c r="Q707" s="1">
        <f t="shared" ref="Q707:Q770" si="69">(I707*2*PI()/60)*(C707/2000)</f>
        <v>1.2252211349000193</v>
      </c>
      <c r="R707" s="1">
        <f t="shared" ref="R707:R770" si="70">Q707*196.85</f>
        <v>241.18478040506878</v>
      </c>
      <c r="S707" s="1">
        <f t="shared" ref="S707:S770" si="71">R707-G707</f>
        <v>-1.8152195949312215</v>
      </c>
    </row>
    <row r="708" spans="1:19" x14ac:dyDescent="0.35">
      <c r="A708">
        <v>707</v>
      </c>
      <c r="B708" t="s">
        <v>44</v>
      </c>
      <c r="C708">
        <v>600</v>
      </c>
      <c r="D708" t="s">
        <v>32</v>
      </c>
      <c r="E708">
        <v>100</v>
      </c>
      <c r="F708">
        <v>20</v>
      </c>
      <c r="G708">
        <v>182</v>
      </c>
      <c r="H708">
        <v>3455</v>
      </c>
      <c r="I708">
        <v>29</v>
      </c>
      <c r="J708">
        <v>6</v>
      </c>
      <c r="K708" t="s">
        <v>16</v>
      </c>
      <c r="L708" t="s">
        <v>45</v>
      </c>
      <c r="M708">
        <v>3</v>
      </c>
      <c r="N708">
        <f t="shared" si="66"/>
        <v>1200</v>
      </c>
      <c r="O708">
        <f t="shared" si="67"/>
        <v>1176</v>
      </c>
      <c r="P708" s="1">
        <f t="shared" si="68"/>
        <v>40.551724137931032</v>
      </c>
      <c r="Q708" s="1">
        <f t="shared" si="69"/>
        <v>0.91106186954104007</v>
      </c>
      <c r="R708" s="1">
        <f t="shared" si="70"/>
        <v>179.34252901915374</v>
      </c>
      <c r="S708" s="1">
        <f t="shared" si="71"/>
        <v>-2.6574709808462558</v>
      </c>
    </row>
    <row r="709" spans="1:19" x14ac:dyDescent="0.35">
      <c r="A709">
        <v>708</v>
      </c>
      <c r="B709" t="s">
        <v>44</v>
      </c>
      <c r="C709">
        <v>600</v>
      </c>
      <c r="D709" t="s">
        <v>32</v>
      </c>
      <c r="E709">
        <v>100</v>
      </c>
      <c r="F709">
        <v>20</v>
      </c>
      <c r="G709">
        <v>146</v>
      </c>
      <c r="H709">
        <v>4313</v>
      </c>
      <c r="I709">
        <v>23</v>
      </c>
      <c r="J709">
        <v>6</v>
      </c>
      <c r="K709" t="s">
        <v>16</v>
      </c>
      <c r="L709" t="s">
        <v>45</v>
      </c>
      <c r="M709">
        <v>3</v>
      </c>
      <c r="N709">
        <f t="shared" si="66"/>
        <v>1200</v>
      </c>
      <c r="O709">
        <f t="shared" si="67"/>
        <v>1176</v>
      </c>
      <c r="P709" s="1">
        <f t="shared" si="68"/>
        <v>51.130434782608695</v>
      </c>
      <c r="Q709" s="1">
        <f t="shared" si="69"/>
        <v>0.72256631032565233</v>
      </c>
      <c r="R709" s="1">
        <f t="shared" si="70"/>
        <v>142.23717818760466</v>
      </c>
      <c r="S709" s="1">
        <f t="shared" si="71"/>
        <v>-3.7628218123953445</v>
      </c>
    </row>
    <row r="710" spans="1:19" x14ac:dyDescent="0.35">
      <c r="A710">
        <v>709</v>
      </c>
      <c r="B710" t="s">
        <v>46</v>
      </c>
      <c r="C710">
        <v>800</v>
      </c>
      <c r="D710" t="s">
        <v>32</v>
      </c>
      <c r="E710">
        <v>100</v>
      </c>
      <c r="F710">
        <v>75</v>
      </c>
      <c r="G710">
        <v>1233</v>
      </c>
      <c r="H710">
        <v>1906</v>
      </c>
      <c r="I710">
        <v>150</v>
      </c>
      <c r="J710">
        <v>4</v>
      </c>
      <c r="K710" t="s">
        <v>14</v>
      </c>
      <c r="L710" t="s">
        <v>47</v>
      </c>
      <c r="M710">
        <v>3</v>
      </c>
      <c r="N710">
        <f t="shared" si="66"/>
        <v>1800</v>
      </c>
      <c r="O710">
        <f t="shared" si="67"/>
        <v>1764</v>
      </c>
      <c r="P710" s="1">
        <f t="shared" si="68"/>
        <v>11.76</v>
      </c>
      <c r="Q710" s="1">
        <f t="shared" si="69"/>
        <v>6.2831853071795862</v>
      </c>
      <c r="R710" s="1">
        <f t="shared" si="70"/>
        <v>1236.8450277183015</v>
      </c>
      <c r="S710" s="1">
        <f t="shared" si="71"/>
        <v>3.8450277183014805</v>
      </c>
    </row>
    <row r="711" spans="1:19" x14ac:dyDescent="0.35">
      <c r="A711">
        <v>710</v>
      </c>
      <c r="B711" t="s">
        <v>46</v>
      </c>
      <c r="C711">
        <v>800</v>
      </c>
      <c r="D711" t="s">
        <v>32</v>
      </c>
      <c r="E711">
        <v>100</v>
      </c>
      <c r="F711">
        <v>75</v>
      </c>
      <c r="G711">
        <v>972</v>
      </c>
      <c r="H711">
        <v>2418</v>
      </c>
      <c r="I711">
        <v>118</v>
      </c>
      <c r="J711">
        <v>4</v>
      </c>
      <c r="K711" t="s">
        <v>14</v>
      </c>
      <c r="L711" t="s">
        <v>47</v>
      </c>
      <c r="M711">
        <v>3</v>
      </c>
      <c r="N711">
        <f t="shared" si="66"/>
        <v>1800</v>
      </c>
      <c r="O711">
        <f t="shared" si="67"/>
        <v>1764</v>
      </c>
      <c r="P711" s="1">
        <f t="shared" si="68"/>
        <v>14.949152542372881</v>
      </c>
      <c r="Q711" s="1">
        <f t="shared" si="69"/>
        <v>4.9427724416479419</v>
      </c>
      <c r="R711" s="1">
        <f t="shared" si="70"/>
        <v>972.9847551383973</v>
      </c>
      <c r="S711" s="1">
        <f t="shared" si="71"/>
        <v>0.98475513839730411</v>
      </c>
    </row>
    <row r="712" spans="1:19" x14ac:dyDescent="0.35">
      <c r="A712">
        <v>711</v>
      </c>
      <c r="B712" t="s">
        <v>46</v>
      </c>
      <c r="C712">
        <v>800</v>
      </c>
      <c r="D712" t="s">
        <v>32</v>
      </c>
      <c r="E712">
        <v>100</v>
      </c>
      <c r="F712">
        <v>75</v>
      </c>
      <c r="G712">
        <v>770</v>
      </c>
      <c r="H712">
        <v>3053</v>
      </c>
      <c r="I712">
        <v>93</v>
      </c>
      <c r="J712">
        <v>4</v>
      </c>
      <c r="K712" t="s">
        <v>14</v>
      </c>
      <c r="L712" t="s">
        <v>47</v>
      </c>
      <c r="M712">
        <v>3</v>
      </c>
      <c r="N712">
        <f t="shared" si="66"/>
        <v>1800</v>
      </c>
      <c r="O712">
        <f t="shared" si="67"/>
        <v>1764</v>
      </c>
      <c r="P712" s="1">
        <f t="shared" si="68"/>
        <v>18.967741935483872</v>
      </c>
      <c r="Q712" s="1">
        <f t="shared" si="69"/>
        <v>3.8955748904513436</v>
      </c>
      <c r="R712" s="1">
        <f t="shared" si="70"/>
        <v>766.84391718534698</v>
      </c>
      <c r="S712" s="1">
        <f t="shared" si="71"/>
        <v>-3.1560828146530184</v>
      </c>
    </row>
    <row r="713" spans="1:19" x14ac:dyDescent="0.35">
      <c r="A713">
        <v>712</v>
      </c>
      <c r="B713" t="s">
        <v>46</v>
      </c>
      <c r="C713">
        <v>800</v>
      </c>
      <c r="D713" t="s">
        <v>32</v>
      </c>
      <c r="E713">
        <v>100</v>
      </c>
      <c r="F713">
        <v>75</v>
      </c>
      <c r="G713">
        <v>640</v>
      </c>
      <c r="H713">
        <v>3674</v>
      </c>
      <c r="I713">
        <v>78</v>
      </c>
      <c r="J713">
        <v>2</v>
      </c>
      <c r="K713" t="s">
        <v>16</v>
      </c>
      <c r="L713" t="s">
        <v>47</v>
      </c>
      <c r="M713">
        <v>3</v>
      </c>
      <c r="N713">
        <f t="shared" si="66"/>
        <v>3600</v>
      </c>
      <c r="O713">
        <f t="shared" si="67"/>
        <v>3528</v>
      </c>
      <c r="P713" s="1">
        <f t="shared" si="68"/>
        <v>45.230769230769234</v>
      </c>
      <c r="Q713" s="1">
        <f t="shared" si="69"/>
        <v>3.267256359733385</v>
      </c>
      <c r="R713" s="1">
        <f t="shared" si="70"/>
        <v>643.15941441351686</v>
      </c>
      <c r="S713" s="1">
        <f t="shared" si="71"/>
        <v>3.1594144135168563</v>
      </c>
    </row>
    <row r="714" spans="1:19" x14ac:dyDescent="0.35">
      <c r="A714">
        <v>713</v>
      </c>
      <c r="B714" t="s">
        <v>46</v>
      </c>
      <c r="C714">
        <v>800</v>
      </c>
      <c r="D714" t="s">
        <v>32</v>
      </c>
      <c r="E714">
        <v>100</v>
      </c>
      <c r="F714">
        <v>75</v>
      </c>
      <c r="G714">
        <v>480</v>
      </c>
      <c r="H714">
        <v>4898</v>
      </c>
      <c r="I714">
        <v>58</v>
      </c>
      <c r="J714">
        <v>4</v>
      </c>
      <c r="K714" t="s">
        <v>16</v>
      </c>
      <c r="L714" t="s">
        <v>47</v>
      </c>
      <c r="M714">
        <v>3</v>
      </c>
      <c r="N714">
        <f t="shared" si="66"/>
        <v>1800</v>
      </c>
      <c r="O714">
        <f t="shared" si="67"/>
        <v>1764</v>
      </c>
      <c r="P714" s="1">
        <f t="shared" si="68"/>
        <v>30.413793103448278</v>
      </c>
      <c r="Q714" s="1">
        <f t="shared" si="69"/>
        <v>2.429498318776107</v>
      </c>
      <c r="R714" s="1">
        <f t="shared" si="70"/>
        <v>478.24674405107663</v>
      </c>
      <c r="S714" s="1">
        <f t="shared" si="71"/>
        <v>-1.7532559489233677</v>
      </c>
    </row>
    <row r="715" spans="1:19" x14ac:dyDescent="0.35">
      <c r="A715">
        <v>714</v>
      </c>
      <c r="B715" t="s">
        <v>46</v>
      </c>
      <c r="C715">
        <v>800</v>
      </c>
      <c r="D715" t="s">
        <v>32</v>
      </c>
      <c r="E715">
        <v>100</v>
      </c>
      <c r="F715">
        <v>60</v>
      </c>
      <c r="G715">
        <v>960</v>
      </c>
      <c r="H715">
        <v>1959</v>
      </c>
      <c r="I715">
        <v>116</v>
      </c>
      <c r="J715">
        <v>2</v>
      </c>
      <c r="K715" t="s">
        <v>16</v>
      </c>
      <c r="L715" t="s">
        <v>47</v>
      </c>
      <c r="M715">
        <v>3</v>
      </c>
      <c r="N715">
        <f t="shared" si="66"/>
        <v>3600</v>
      </c>
      <c r="O715">
        <f t="shared" si="67"/>
        <v>3528</v>
      </c>
      <c r="P715" s="1">
        <f t="shared" si="68"/>
        <v>30.413793103448278</v>
      </c>
      <c r="Q715" s="1">
        <f t="shared" si="69"/>
        <v>4.858996637552214</v>
      </c>
      <c r="R715" s="1">
        <f t="shared" si="70"/>
        <v>956.49348810215326</v>
      </c>
      <c r="S715" s="1">
        <f t="shared" si="71"/>
        <v>-3.5065118978467353</v>
      </c>
    </row>
    <row r="716" spans="1:19" x14ac:dyDescent="0.35">
      <c r="A716">
        <v>715</v>
      </c>
      <c r="B716" t="s">
        <v>46</v>
      </c>
      <c r="C716">
        <v>800</v>
      </c>
      <c r="D716" t="s">
        <v>32</v>
      </c>
      <c r="E716">
        <v>100</v>
      </c>
      <c r="F716">
        <v>60</v>
      </c>
      <c r="G716">
        <v>800</v>
      </c>
      <c r="H716">
        <v>2351</v>
      </c>
      <c r="I716">
        <v>97</v>
      </c>
      <c r="J716">
        <v>2</v>
      </c>
      <c r="K716" t="s">
        <v>16</v>
      </c>
      <c r="L716" t="s">
        <v>47</v>
      </c>
      <c r="M716">
        <v>3</v>
      </c>
      <c r="N716">
        <f t="shared" si="66"/>
        <v>3600</v>
      </c>
      <c r="O716">
        <f t="shared" si="67"/>
        <v>3528</v>
      </c>
      <c r="P716" s="1">
        <f t="shared" si="68"/>
        <v>36.371134020618555</v>
      </c>
      <c r="Q716" s="1">
        <f t="shared" si="69"/>
        <v>4.0631264986427986</v>
      </c>
      <c r="R716" s="1">
        <f t="shared" si="70"/>
        <v>799.82645125783483</v>
      </c>
      <c r="S716" s="1">
        <f t="shared" si="71"/>
        <v>-0.17354874216516691</v>
      </c>
    </row>
    <row r="717" spans="1:19" x14ac:dyDescent="0.35">
      <c r="A717">
        <v>716</v>
      </c>
      <c r="B717" t="s">
        <v>46</v>
      </c>
      <c r="C717">
        <v>800</v>
      </c>
      <c r="D717" t="s">
        <v>32</v>
      </c>
      <c r="E717">
        <v>100</v>
      </c>
      <c r="F717">
        <v>60</v>
      </c>
      <c r="G717">
        <v>617</v>
      </c>
      <c r="H717">
        <v>3047</v>
      </c>
      <c r="I717">
        <v>75</v>
      </c>
      <c r="J717">
        <v>2</v>
      </c>
      <c r="K717" t="s">
        <v>14</v>
      </c>
      <c r="L717" t="s">
        <v>47</v>
      </c>
      <c r="M717">
        <v>3</v>
      </c>
      <c r="N717">
        <f t="shared" si="66"/>
        <v>3600</v>
      </c>
      <c r="O717">
        <f t="shared" si="67"/>
        <v>3528</v>
      </c>
      <c r="P717" s="1">
        <f t="shared" si="68"/>
        <v>47.04</v>
      </c>
      <c r="Q717" s="1">
        <f t="shared" si="69"/>
        <v>3.1415926535897931</v>
      </c>
      <c r="R717" s="1">
        <f t="shared" si="70"/>
        <v>618.42251385915074</v>
      </c>
      <c r="S717" s="1">
        <f t="shared" si="71"/>
        <v>1.4225138591507402</v>
      </c>
    </row>
    <row r="718" spans="1:19" x14ac:dyDescent="0.35">
      <c r="A718">
        <v>717</v>
      </c>
      <c r="B718" t="s">
        <v>46</v>
      </c>
      <c r="C718">
        <v>800</v>
      </c>
      <c r="D718" t="s">
        <v>32</v>
      </c>
      <c r="E718">
        <v>100</v>
      </c>
      <c r="F718">
        <v>60</v>
      </c>
      <c r="G718">
        <v>480</v>
      </c>
      <c r="H718">
        <v>3875</v>
      </c>
      <c r="I718">
        <v>58</v>
      </c>
      <c r="J718">
        <v>4</v>
      </c>
      <c r="K718" t="s">
        <v>16</v>
      </c>
      <c r="L718" t="s">
        <v>47</v>
      </c>
      <c r="M718">
        <v>3</v>
      </c>
      <c r="N718">
        <f t="shared" si="66"/>
        <v>1800</v>
      </c>
      <c r="O718">
        <f t="shared" si="67"/>
        <v>1764</v>
      </c>
      <c r="P718" s="1">
        <f t="shared" si="68"/>
        <v>30.413793103448278</v>
      </c>
      <c r="Q718" s="1">
        <f t="shared" si="69"/>
        <v>2.429498318776107</v>
      </c>
      <c r="R718" s="1">
        <f t="shared" si="70"/>
        <v>478.24674405107663</v>
      </c>
      <c r="S718" s="1">
        <f t="shared" si="71"/>
        <v>-1.7532559489233677</v>
      </c>
    </row>
    <row r="719" spans="1:19" x14ac:dyDescent="0.35">
      <c r="A719">
        <v>718</v>
      </c>
      <c r="B719" t="s">
        <v>46</v>
      </c>
      <c r="C719">
        <v>800</v>
      </c>
      <c r="D719" t="s">
        <v>32</v>
      </c>
      <c r="E719">
        <v>100</v>
      </c>
      <c r="F719">
        <v>60</v>
      </c>
      <c r="G719">
        <v>400</v>
      </c>
      <c r="H719">
        <v>4688</v>
      </c>
      <c r="I719">
        <v>49</v>
      </c>
      <c r="J719">
        <v>4</v>
      </c>
      <c r="K719" t="s">
        <v>16</v>
      </c>
      <c r="L719" t="s">
        <v>47</v>
      </c>
      <c r="M719">
        <v>3</v>
      </c>
      <c r="N719">
        <f t="shared" si="66"/>
        <v>1800</v>
      </c>
      <c r="O719">
        <f t="shared" si="67"/>
        <v>1764</v>
      </c>
      <c r="P719" s="1">
        <f t="shared" si="68"/>
        <v>36</v>
      </c>
      <c r="Q719" s="1">
        <f t="shared" si="69"/>
        <v>2.0525072003453313</v>
      </c>
      <c r="R719" s="1">
        <f t="shared" si="70"/>
        <v>404.03604238797845</v>
      </c>
      <c r="S719" s="1">
        <f t="shared" si="71"/>
        <v>4.0360423879784548</v>
      </c>
    </row>
    <row r="720" spans="1:19" x14ac:dyDescent="0.35">
      <c r="A720">
        <v>719</v>
      </c>
      <c r="B720" t="s">
        <v>46</v>
      </c>
      <c r="C720">
        <v>800</v>
      </c>
      <c r="D720" t="s">
        <v>32</v>
      </c>
      <c r="E720">
        <v>100</v>
      </c>
      <c r="F720">
        <v>50</v>
      </c>
      <c r="G720">
        <v>960</v>
      </c>
      <c r="H720">
        <v>1633</v>
      </c>
      <c r="I720">
        <v>116</v>
      </c>
      <c r="J720">
        <v>2</v>
      </c>
      <c r="K720" t="s">
        <v>16</v>
      </c>
      <c r="L720" t="s">
        <v>47</v>
      </c>
      <c r="M720">
        <v>3</v>
      </c>
      <c r="N720">
        <f t="shared" si="66"/>
        <v>3600</v>
      </c>
      <c r="O720">
        <f t="shared" si="67"/>
        <v>3528</v>
      </c>
      <c r="P720" s="1">
        <f t="shared" si="68"/>
        <v>30.413793103448278</v>
      </c>
      <c r="Q720" s="1">
        <f t="shared" si="69"/>
        <v>4.858996637552214</v>
      </c>
      <c r="R720" s="1">
        <f t="shared" si="70"/>
        <v>956.49348810215326</v>
      </c>
      <c r="S720" s="1">
        <f t="shared" si="71"/>
        <v>-3.5065118978467353</v>
      </c>
    </row>
    <row r="721" spans="1:19" x14ac:dyDescent="0.35">
      <c r="A721">
        <v>720</v>
      </c>
      <c r="B721" t="s">
        <v>46</v>
      </c>
      <c r="C721">
        <v>800</v>
      </c>
      <c r="D721" t="s">
        <v>32</v>
      </c>
      <c r="E721">
        <v>100</v>
      </c>
      <c r="F721">
        <v>50</v>
      </c>
      <c r="G721">
        <v>800</v>
      </c>
      <c r="H721">
        <v>1959</v>
      </c>
      <c r="I721">
        <v>97</v>
      </c>
      <c r="J721">
        <v>2</v>
      </c>
      <c r="K721" t="s">
        <v>16</v>
      </c>
      <c r="L721" t="s">
        <v>47</v>
      </c>
      <c r="M721">
        <v>3</v>
      </c>
      <c r="N721">
        <f t="shared" si="66"/>
        <v>3600</v>
      </c>
      <c r="O721">
        <f t="shared" si="67"/>
        <v>3528</v>
      </c>
      <c r="P721" s="1">
        <f t="shared" si="68"/>
        <v>36.371134020618555</v>
      </c>
      <c r="Q721" s="1">
        <f t="shared" si="69"/>
        <v>4.0631264986427986</v>
      </c>
      <c r="R721" s="1">
        <f t="shared" si="70"/>
        <v>799.82645125783483</v>
      </c>
      <c r="S721" s="1">
        <f t="shared" si="71"/>
        <v>-0.17354874216516691</v>
      </c>
    </row>
    <row r="722" spans="1:19" x14ac:dyDescent="0.35">
      <c r="A722">
        <v>721</v>
      </c>
      <c r="B722" t="s">
        <v>46</v>
      </c>
      <c r="C722">
        <v>800</v>
      </c>
      <c r="D722" t="s">
        <v>32</v>
      </c>
      <c r="E722">
        <v>100</v>
      </c>
      <c r="F722">
        <v>50</v>
      </c>
      <c r="G722">
        <v>640</v>
      </c>
      <c r="H722">
        <v>2449</v>
      </c>
      <c r="I722">
        <v>78</v>
      </c>
      <c r="J722">
        <v>2</v>
      </c>
      <c r="K722" t="s">
        <v>16</v>
      </c>
      <c r="L722" t="s">
        <v>47</v>
      </c>
      <c r="M722">
        <v>3</v>
      </c>
      <c r="N722">
        <f t="shared" si="66"/>
        <v>3600</v>
      </c>
      <c r="O722">
        <f t="shared" si="67"/>
        <v>3528</v>
      </c>
      <c r="P722" s="1">
        <f t="shared" si="68"/>
        <v>45.230769230769234</v>
      </c>
      <c r="Q722" s="1">
        <f t="shared" si="69"/>
        <v>3.267256359733385</v>
      </c>
      <c r="R722" s="1">
        <f t="shared" si="70"/>
        <v>643.15941441351686</v>
      </c>
      <c r="S722" s="1">
        <f t="shared" si="71"/>
        <v>3.1594144135168563</v>
      </c>
    </row>
    <row r="723" spans="1:19" x14ac:dyDescent="0.35">
      <c r="A723">
        <v>722</v>
      </c>
      <c r="B723" t="s">
        <v>46</v>
      </c>
      <c r="C723">
        <v>800</v>
      </c>
      <c r="D723" t="s">
        <v>32</v>
      </c>
      <c r="E723">
        <v>100</v>
      </c>
      <c r="F723">
        <v>50</v>
      </c>
      <c r="G723">
        <v>480</v>
      </c>
      <c r="H723">
        <v>3265</v>
      </c>
      <c r="I723">
        <v>58</v>
      </c>
      <c r="J723">
        <v>4</v>
      </c>
      <c r="K723" t="s">
        <v>16</v>
      </c>
      <c r="L723" t="s">
        <v>47</v>
      </c>
      <c r="M723">
        <v>3</v>
      </c>
      <c r="N723">
        <f t="shared" si="66"/>
        <v>1800</v>
      </c>
      <c r="O723">
        <f t="shared" si="67"/>
        <v>1764</v>
      </c>
      <c r="P723" s="1">
        <f t="shared" si="68"/>
        <v>30.413793103448278</v>
      </c>
      <c r="Q723" s="1">
        <f t="shared" si="69"/>
        <v>2.429498318776107</v>
      </c>
      <c r="R723" s="1">
        <f t="shared" si="70"/>
        <v>478.24674405107663</v>
      </c>
      <c r="S723" s="1">
        <f t="shared" si="71"/>
        <v>-1.7532559489233677</v>
      </c>
    </row>
    <row r="724" spans="1:19" x14ac:dyDescent="0.35">
      <c r="A724">
        <v>723</v>
      </c>
      <c r="B724" t="s">
        <v>46</v>
      </c>
      <c r="C724">
        <v>800</v>
      </c>
      <c r="D724" t="s">
        <v>32</v>
      </c>
      <c r="E724">
        <v>100</v>
      </c>
      <c r="F724">
        <v>50</v>
      </c>
      <c r="G724">
        <v>400</v>
      </c>
      <c r="H724">
        <v>3919</v>
      </c>
      <c r="I724">
        <v>49</v>
      </c>
      <c r="J724">
        <v>4</v>
      </c>
      <c r="K724" t="s">
        <v>16</v>
      </c>
      <c r="L724" t="s">
        <v>47</v>
      </c>
      <c r="M724">
        <v>3</v>
      </c>
      <c r="N724">
        <f t="shared" si="66"/>
        <v>1800</v>
      </c>
      <c r="O724">
        <f t="shared" si="67"/>
        <v>1764</v>
      </c>
      <c r="P724" s="1">
        <f t="shared" si="68"/>
        <v>36</v>
      </c>
      <c r="Q724" s="1">
        <f t="shared" si="69"/>
        <v>2.0525072003453313</v>
      </c>
      <c r="R724" s="1">
        <f t="shared" si="70"/>
        <v>404.03604238797845</v>
      </c>
      <c r="S724" s="1">
        <f t="shared" si="71"/>
        <v>4.0360423879784548</v>
      </c>
    </row>
    <row r="725" spans="1:19" x14ac:dyDescent="0.35">
      <c r="A725">
        <v>724</v>
      </c>
      <c r="B725" t="s">
        <v>46</v>
      </c>
      <c r="C725">
        <v>800</v>
      </c>
      <c r="D725" t="s">
        <v>32</v>
      </c>
      <c r="E725">
        <v>100</v>
      </c>
      <c r="F725">
        <v>50</v>
      </c>
      <c r="G725">
        <v>320</v>
      </c>
      <c r="H725">
        <v>4900</v>
      </c>
      <c r="I725">
        <v>39</v>
      </c>
      <c r="J725">
        <v>4</v>
      </c>
      <c r="K725" t="s">
        <v>16</v>
      </c>
      <c r="L725" t="s">
        <v>47</v>
      </c>
      <c r="M725">
        <v>3</v>
      </c>
      <c r="N725">
        <f t="shared" si="66"/>
        <v>1800</v>
      </c>
      <c r="O725">
        <f t="shared" si="67"/>
        <v>1764</v>
      </c>
      <c r="P725" s="1">
        <f t="shared" si="68"/>
        <v>45.230769230769234</v>
      </c>
      <c r="Q725" s="1">
        <f t="shared" si="69"/>
        <v>1.6336281798666925</v>
      </c>
      <c r="R725" s="1">
        <f t="shared" si="70"/>
        <v>321.57970720675843</v>
      </c>
      <c r="S725" s="1">
        <f t="shared" si="71"/>
        <v>1.5797072067584281</v>
      </c>
    </row>
    <row r="726" spans="1:19" x14ac:dyDescent="0.35">
      <c r="A726">
        <v>725</v>
      </c>
      <c r="B726" t="s">
        <v>46</v>
      </c>
      <c r="C726">
        <v>800</v>
      </c>
      <c r="D726" t="s">
        <v>32</v>
      </c>
      <c r="E726">
        <v>100</v>
      </c>
      <c r="F726">
        <v>40</v>
      </c>
      <c r="G726">
        <v>480</v>
      </c>
      <c r="H726">
        <v>2613</v>
      </c>
      <c r="I726">
        <v>58</v>
      </c>
      <c r="J726">
        <v>4</v>
      </c>
      <c r="K726" t="s">
        <v>16</v>
      </c>
      <c r="L726" t="s">
        <v>47</v>
      </c>
      <c r="M726">
        <v>3</v>
      </c>
      <c r="N726">
        <f t="shared" si="66"/>
        <v>1800</v>
      </c>
      <c r="O726">
        <f t="shared" si="67"/>
        <v>1764</v>
      </c>
      <c r="P726" s="1">
        <f t="shared" si="68"/>
        <v>30.413793103448278</v>
      </c>
      <c r="Q726" s="1">
        <f t="shared" si="69"/>
        <v>2.429498318776107</v>
      </c>
      <c r="R726" s="1">
        <f t="shared" si="70"/>
        <v>478.24674405107663</v>
      </c>
      <c r="S726" s="1">
        <f t="shared" si="71"/>
        <v>-1.7532559489233677</v>
      </c>
    </row>
    <row r="727" spans="1:19" x14ac:dyDescent="0.35">
      <c r="A727">
        <v>726</v>
      </c>
      <c r="B727" t="s">
        <v>46</v>
      </c>
      <c r="C727">
        <v>800</v>
      </c>
      <c r="D727" t="s">
        <v>32</v>
      </c>
      <c r="E727">
        <v>100</v>
      </c>
      <c r="F727">
        <v>40</v>
      </c>
      <c r="G727">
        <v>400</v>
      </c>
      <c r="H727">
        <v>3125</v>
      </c>
      <c r="I727">
        <v>49</v>
      </c>
      <c r="J727">
        <v>4</v>
      </c>
      <c r="K727" t="s">
        <v>16</v>
      </c>
      <c r="L727" t="s">
        <v>47</v>
      </c>
      <c r="M727">
        <v>3</v>
      </c>
      <c r="N727">
        <f t="shared" si="66"/>
        <v>1800</v>
      </c>
      <c r="O727">
        <f t="shared" si="67"/>
        <v>1764</v>
      </c>
      <c r="P727" s="1">
        <f t="shared" si="68"/>
        <v>36</v>
      </c>
      <c r="Q727" s="1">
        <f t="shared" si="69"/>
        <v>2.0525072003453313</v>
      </c>
      <c r="R727" s="1">
        <f t="shared" si="70"/>
        <v>404.03604238797845</v>
      </c>
      <c r="S727" s="1">
        <f t="shared" si="71"/>
        <v>4.0360423879784548</v>
      </c>
    </row>
    <row r="728" spans="1:19" x14ac:dyDescent="0.35">
      <c r="A728">
        <v>727</v>
      </c>
      <c r="B728" t="s">
        <v>46</v>
      </c>
      <c r="C728">
        <v>800</v>
      </c>
      <c r="D728" t="s">
        <v>32</v>
      </c>
      <c r="E728">
        <v>100</v>
      </c>
      <c r="F728">
        <v>40</v>
      </c>
      <c r="G728">
        <v>320</v>
      </c>
      <c r="H728">
        <v>3919</v>
      </c>
      <c r="I728">
        <v>39</v>
      </c>
      <c r="J728">
        <v>4</v>
      </c>
      <c r="K728" t="s">
        <v>16</v>
      </c>
      <c r="L728" t="s">
        <v>47</v>
      </c>
      <c r="M728">
        <v>3</v>
      </c>
      <c r="N728">
        <f t="shared" si="66"/>
        <v>1800</v>
      </c>
      <c r="O728">
        <f t="shared" si="67"/>
        <v>1764</v>
      </c>
      <c r="P728" s="1">
        <f t="shared" si="68"/>
        <v>45.230769230769234</v>
      </c>
      <c r="Q728" s="1">
        <f t="shared" si="69"/>
        <v>1.6336281798666925</v>
      </c>
      <c r="R728" s="1">
        <f t="shared" si="70"/>
        <v>321.57970720675843</v>
      </c>
      <c r="S728" s="1">
        <f t="shared" si="71"/>
        <v>1.5797072067584281</v>
      </c>
    </row>
    <row r="729" spans="1:19" x14ac:dyDescent="0.35">
      <c r="A729">
        <v>728</v>
      </c>
      <c r="B729" t="s">
        <v>46</v>
      </c>
      <c r="C729">
        <v>800</v>
      </c>
      <c r="D729" t="s">
        <v>32</v>
      </c>
      <c r="E729">
        <v>100</v>
      </c>
      <c r="F729">
        <v>30</v>
      </c>
      <c r="G729">
        <v>480</v>
      </c>
      <c r="H729">
        <v>1938</v>
      </c>
      <c r="I729">
        <v>58</v>
      </c>
      <c r="J729">
        <v>4</v>
      </c>
      <c r="K729" t="s">
        <v>16</v>
      </c>
      <c r="L729" t="s">
        <v>47</v>
      </c>
      <c r="M729">
        <v>3</v>
      </c>
      <c r="N729">
        <f t="shared" si="66"/>
        <v>1800</v>
      </c>
      <c r="O729">
        <f t="shared" si="67"/>
        <v>1764</v>
      </c>
      <c r="P729" s="1">
        <f t="shared" si="68"/>
        <v>30.413793103448278</v>
      </c>
      <c r="Q729" s="1">
        <f t="shared" si="69"/>
        <v>2.429498318776107</v>
      </c>
      <c r="R729" s="1">
        <f t="shared" si="70"/>
        <v>478.24674405107663</v>
      </c>
      <c r="S729" s="1">
        <f t="shared" si="71"/>
        <v>-1.7532559489233677</v>
      </c>
    </row>
    <row r="730" spans="1:19" x14ac:dyDescent="0.35">
      <c r="A730">
        <v>729</v>
      </c>
      <c r="B730" t="s">
        <v>46</v>
      </c>
      <c r="C730">
        <v>800</v>
      </c>
      <c r="D730" t="s">
        <v>32</v>
      </c>
      <c r="E730">
        <v>100</v>
      </c>
      <c r="F730">
        <v>30</v>
      </c>
      <c r="G730">
        <v>400</v>
      </c>
      <c r="H730">
        <v>2350</v>
      </c>
      <c r="I730">
        <v>49</v>
      </c>
      <c r="J730">
        <v>4</v>
      </c>
      <c r="K730" t="s">
        <v>16</v>
      </c>
      <c r="L730" t="s">
        <v>47</v>
      </c>
      <c r="M730">
        <v>3</v>
      </c>
      <c r="N730">
        <f t="shared" si="66"/>
        <v>1800</v>
      </c>
      <c r="O730">
        <f t="shared" si="67"/>
        <v>1764</v>
      </c>
      <c r="P730" s="1">
        <f t="shared" si="68"/>
        <v>36</v>
      </c>
      <c r="Q730" s="1">
        <f t="shared" si="69"/>
        <v>2.0525072003453313</v>
      </c>
      <c r="R730" s="1">
        <f t="shared" si="70"/>
        <v>404.03604238797845</v>
      </c>
      <c r="S730" s="1">
        <f t="shared" si="71"/>
        <v>4.0360423879784548</v>
      </c>
    </row>
    <row r="731" spans="1:19" x14ac:dyDescent="0.35">
      <c r="A731">
        <v>730</v>
      </c>
      <c r="B731" t="s">
        <v>46</v>
      </c>
      <c r="C731">
        <v>800</v>
      </c>
      <c r="D731" t="s">
        <v>32</v>
      </c>
      <c r="E731">
        <v>100</v>
      </c>
      <c r="F731">
        <v>30</v>
      </c>
      <c r="G731">
        <v>320</v>
      </c>
      <c r="H731">
        <v>2938</v>
      </c>
      <c r="I731">
        <v>39</v>
      </c>
      <c r="J731">
        <v>4</v>
      </c>
      <c r="K731" t="s">
        <v>16</v>
      </c>
      <c r="L731" t="s">
        <v>47</v>
      </c>
      <c r="M731">
        <v>3</v>
      </c>
      <c r="N731">
        <f t="shared" si="66"/>
        <v>1800</v>
      </c>
      <c r="O731">
        <f t="shared" si="67"/>
        <v>1764</v>
      </c>
      <c r="P731" s="1">
        <f t="shared" si="68"/>
        <v>45.230769230769234</v>
      </c>
      <c r="Q731" s="1">
        <f t="shared" si="69"/>
        <v>1.6336281798666925</v>
      </c>
      <c r="R731" s="1">
        <f t="shared" si="70"/>
        <v>321.57970720675843</v>
      </c>
      <c r="S731" s="1">
        <f t="shared" si="71"/>
        <v>1.5797072067584281</v>
      </c>
    </row>
    <row r="732" spans="1:19" x14ac:dyDescent="0.35">
      <c r="A732">
        <v>731</v>
      </c>
      <c r="B732" t="s">
        <v>46</v>
      </c>
      <c r="C732">
        <v>800</v>
      </c>
      <c r="D732" t="s">
        <v>32</v>
      </c>
      <c r="E732">
        <v>100</v>
      </c>
      <c r="F732">
        <v>25</v>
      </c>
      <c r="G732">
        <v>480</v>
      </c>
      <c r="H732">
        <v>1633</v>
      </c>
      <c r="I732">
        <v>58</v>
      </c>
      <c r="J732">
        <v>4</v>
      </c>
      <c r="K732" t="s">
        <v>16</v>
      </c>
      <c r="L732" t="s">
        <v>47</v>
      </c>
      <c r="M732">
        <v>3</v>
      </c>
      <c r="N732">
        <f t="shared" si="66"/>
        <v>1800</v>
      </c>
      <c r="O732">
        <f t="shared" si="67"/>
        <v>1764</v>
      </c>
      <c r="P732" s="1">
        <f t="shared" si="68"/>
        <v>30.413793103448278</v>
      </c>
      <c r="Q732" s="1">
        <f t="shared" si="69"/>
        <v>2.429498318776107</v>
      </c>
      <c r="R732" s="1">
        <f t="shared" si="70"/>
        <v>478.24674405107663</v>
      </c>
      <c r="S732" s="1">
        <f t="shared" si="71"/>
        <v>-1.7532559489233677</v>
      </c>
    </row>
    <row r="733" spans="1:19" x14ac:dyDescent="0.35">
      <c r="A733">
        <v>732</v>
      </c>
      <c r="B733" t="s">
        <v>46</v>
      </c>
      <c r="C733">
        <v>800</v>
      </c>
      <c r="D733" t="s">
        <v>32</v>
      </c>
      <c r="E733">
        <v>100</v>
      </c>
      <c r="F733">
        <v>25</v>
      </c>
      <c r="G733">
        <v>400</v>
      </c>
      <c r="H733">
        <v>1959</v>
      </c>
      <c r="I733">
        <v>49</v>
      </c>
      <c r="J733">
        <v>4</v>
      </c>
      <c r="K733" t="s">
        <v>16</v>
      </c>
      <c r="L733" t="s">
        <v>47</v>
      </c>
      <c r="M733">
        <v>3</v>
      </c>
      <c r="N733">
        <f t="shared" si="66"/>
        <v>1800</v>
      </c>
      <c r="O733">
        <f t="shared" si="67"/>
        <v>1764</v>
      </c>
      <c r="P733" s="1">
        <f t="shared" si="68"/>
        <v>36</v>
      </c>
      <c r="Q733" s="1">
        <f t="shared" si="69"/>
        <v>2.0525072003453313</v>
      </c>
      <c r="R733" s="1">
        <f t="shared" si="70"/>
        <v>404.03604238797845</v>
      </c>
      <c r="S733" s="1">
        <f t="shared" si="71"/>
        <v>4.0360423879784548</v>
      </c>
    </row>
    <row r="734" spans="1:19" x14ac:dyDescent="0.35">
      <c r="A734">
        <v>733</v>
      </c>
      <c r="B734" t="s">
        <v>46</v>
      </c>
      <c r="C734">
        <v>800</v>
      </c>
      <c r="D734" t="s">
        <v>32</v>
      </c>
      <c r="E734">
        <v>100</v>
      </c>
      <c r="F734">
        <v>25</v>
      </c>
      <c r="G734">
        <v>320</v>
      </c>
      <c r="H734">
        <v>2450</v>
      </c>
      <c r="I734">
        <v>39</v>
      </c>
      <c r="J734">
        <v>4</v>
      </c>
      <c r="K734" t="s">
        <v>16</v>
      </c>
      <c r="L734" t="s">
        <v>47</v>
      </c>
      <c r="M734">
        <v>3</v>
      </c>
      <c r="N734">
        <f t="shared" si="66"/>
        <v>1800</v>
      </c>
      <c r="O734">
        <f t="shared" si="67"/>
        <v>1764</v>
      </c>
      <c r="P734" s="1">
        <f t="shared" si="68"/>
        <v>45.230769230769234</v>
      </c>
      <c r="Q734" s="1">
        <f t="shared" si="69"/>
        <v>1.6336281798666925</v>
      </c>
      <c r="R734" s="1">
        <f t="shared" si="70"/>
        <v>321.57970720675843</v>
      </c>
      <c r="S734" s="1">
        <f t="shared" si="71"/>
        <v>1.5797072067584281</v>
      </c>
    </row>
    <row r="735" spans="1:19" x14ac:dyDescent="0.35">
      <c r="A735">
        <v>734</v>
      </c>
      <c r="B735" t="s">
        <v>46</v>
      </c>
      <c r="C735">
        <v>800</v>
      </c>
      <c r="D735" t="s">
        <v>32</v>
      </c>
      <c r="E735">
        <v>100</v>
      </c>
      <c r="F735">
        <v>20</v>
      </c>
      <c r="G735">
        <v>320</v>
      </c>
      <c r="H735">
        <v>1959</v>
      </c>
      <c r="I735">
        <v>39</v>
      </c>
      <c r="J735">
        <v>6</v>
      </c>
      <c r="K735" t="s">
        <v>16</v>
      </c>
      <c r="L735" t="s">
        <v>47</v>
      </c>
      <c r="M735">
        <v>3</v>
      </c>
      <c r="N735">
        <f t="shared" si="66"/>
        <v>1200</v>
      </c>
      <c r="O735">
        <f t="shared" si="67"/>
        <v>1176</v>
      </c>
      <c r="P735" s="1">
        <f t="shared" si="68"/>
        <v>30.153846153846153</v>
      </c>
      <c r="Q735" s="1">
        <f t="shared" si="69"/>
        <v>1.6336281798666925</v>
      </c>
      <c r="R735" s="1">
        <f t="shared" si="70"/>
        <v>321.57970720675843</v>
      </c>
      <c r="S735" s="1">
        <f t="shared" si="71"/>
        <v>1.5797072067584281</v>
      </c>
    </row>
    <row r="736" spans="1:19" x14ac:dyDescent="0.35">
      <c r="A736">
        <v>735</v>
      </c>
      <c r="B736" t="s">
        <v>46</v>
      </c>
      <c r="C736">
        <v>800</v>
      </c>
      <c r="D736" t="s">
        <v>32</v>
      </c>
      <c r="E736">
        <v>100</v>
      </c>
      <c r="F736">
        <v>20</v>
      </c>
      <c r="G736">
        <v>256</v>
      </c>
      <c r="H736">
        <v>2449</v>
      </c>
      <c r="I736">
        <v>31</v>
      </c>
      <c r="J736">
        <v>6</v>
      </c>
      <c r="K736" t="s">
        <v>16</v>
      </c>
      <c r="L736" t="s">
        <v>47</v>
      </c>
      <c r="M736">
        <v>3</v>
      </c>
      <c r="N736">
        <f t="shared" si="66"/>
        <v>1200</v>
      </c>
      <c r="O736">
        <f t="shared" si="67"/>
        <v>1176</v>
      </c>
      <c r="P736" s="1">
        <f t="shared" si="68"/>
        <v>37.935483870967744</v>
      </c>
      <c r="Q736" s="1">
        <f t="shared" si="69"/>
        <v>1.2985249634837812</v>
      </c>
      <c r="R736" s="1">
        <f t="shared" si="70"/>
        <v>255.61463906178233</v>
      </c>
      <c r="S736" s="1">
        <f t="shared" si="71"/>
        <v>-0.38536093821767281</v>
      </c>
    </row>
    <row r="737" spans="1:19" x14ac:dyDescent="0.35">
      <c r="A737">
        <v>736</v>
      </c>
      <c r="B737" t="s">
        <v>46</v>
      </c>
      <c r="C737">
        <v>800</v>
      </c>
      <c r="D737" t="s">
        <v>32</v>
      </c>
      <c r="E737">
        <v>100</v>
      </c>
      <c r="F737">
        <v>20</v>
      </c>
      <c r="G737">
        <v>208</v>
      </c>
      <c r="H737">
        <v>3014</v>
      </c>
      <c r="I737">
        <v>25</v>
      </c>
      <c r="J737">
        <v>6</v>
      </c>
      <c r="K737" t="s">
        <v>16</v>
      </c>
      <c r="L737" t="s">
        <v>47</v>
      </c>
      <c r="M737">
        <v>3</v>
      </c>
      <c r="N737">
        <f t="shared" si="66"/>
        <v>1200</v>
      </c>
      <c r="O737">
        <f t="shared" si="67"/>
        <v>1176</v>
      </c>
      <c r="P737" s="1">
        <f t="shared" si="68"/>
        <v>47.04</v>
      </c>
      <c r="Q737" s="1">
        <f t="shared" si="69"/>
        <v>1.0471975511965979</v>
      </c>
      <c r="R737" s="1">
        <f t="shared" si="70"/>
        <v>206.14083795305029</v>
      </c>
      <c r="S737" s="1">
        <f t="shared" si="71"/>
        <v>-1.8591620469497059</v>
      </c>
    </row>
    <row r="738" spans="1:19" x14ac:dyDescent="0.35">
      <c r="A738">
        <v>737</v>
      </c>
      <c r="B738" t="s">
        <v>48</v>
      </c>
      <c r="C738">
        <v>800</v>
      </c>
      <c r="D738" t="s">
        <v>32</v>
      </c>
      <c r="E738">
        <v>130</v>
      </c>
      <c r="F738">
        <v>200</v>
      </c>
      <c r="G738">
        <v>1077</v>
      </c>
      <c r="H738">
        <v>5715</v>
      </c>
      <c r="I738">
        <v>131</v>
      </c>
      <c r="J738">
        <v>4</v>
      </c>
      <c r="K738" t="s">
        <v>14</v>
      </c>
      <c r="L738" t="s">
        <v>49</v>
      </c>
      <c r="M738">
        <v>3</v>
      </c>
      <c r="N738">
        <f t="shared" si="66"/>
        <v>1800</v>
      </c>
      <c r="O738">
        <f t="shared" si="67"/>
        <v>1764</v>
      </c>
      <c r="P738" s="1">
        <f t="shared" si="68"/>
        <v>13.465648854961833</v>
      </c>
      <c r="Q738" s="1">
        <f t="shared" si="69"/>
        <v>5.4873151682701726</v>
      </c>
      <c r="R738" s="1">
        <f t="shared" si="70"/>
        <v>1080.1779908739834</v>
      </c>
      <c r="S738" s="1">
        <f t="shared" si="71"/>
        <v>3.17799087398339</v>
      </c>
    </row>
    <row r="739" spans="1:19" x14ac:dyDescent="0.35">
      <c r="A739">
        <v>738</v>
      </c>
      <c r="B739" t="s">
        <v>48</v>
      </c>
      <c r="C739">
        <v>800</v>
      </c>
      <c r="D739" t="s">
        <v>32</v>
      </c>
      <c r="E739">
        <v>130</v>
      </c>
      <c r="F739">
        <v>200</v>
      </c>
      <c r="G739">
        <v>914</v>
      </c>
      <c r="H739">
        <v>6736</v>
      </c>
      <c r="I739">
        <v>111</v>
      </c>
      <c r="J739">
        <v>4</v>
      </c>
      <c r="K739" t="s">
        <v>14</v>
      </c>
      <c r="L739" t="s">
        <v>49</v>
      </c>
      <c r="M739">
        <v>3</v>
      </c>
      <c r="N739">
        <f t="shared" si="66"/>
        <v>1800</v>
      </c>
      <c r="O739">
        <f t="shared" si="67"/>
        <v>1764</v>
      </c>
      <c r="P739" s="1">
        <f t="shared" si="68"/>
        <v>15.891891891891891</v>
      </c>
      <c r="Q739" s="1">
        <f t="shared" si="69"/>
        <v>4.6495571273128942</v>
      </c>
      <c r="R739" s="1">
        <f t="shared" si="70"/>
        <v>915.26532051154322</v>
      </c>
      <c r="S739" s="1">
        <f t="shared" si="71"/>
        <v>1.2653205115432229</v>
      </c>
    </row>
    <row r="740" spans="1:19" x14ac:dyDescent="0.35">
      <c r="A740">
        <v>739</v>
      </c>
      <c r="B740" t="s">
        <v>48</v>
      </c>
      <c r="C740">
        <v>800</v>
      </c>
      <c r="D740" t="s">
        <v>32</v>
      </c>
      <c r="E740">
        <v>130</v>
      </c>
      <c r="F740">
        <v>200</v>
      </c>
      <c r="G740">
        <v>745</v>
      </c>
      <c r="H740">
        <v>8786</v>
      </c>
      <c r="I740">
        <v>90</v>
      </c>
      <c r="J740">
        <v>4</v>
      </c>
      <c r="K740" t="s">
        <v>14</v>
      </c>
      <c r="L740" t="s">
        <v>49</v>
      </c>
      <c r="M740">
        <v>3</v>
      </c>
      <c r="N740">
        <f t="shared" si="66"/>
        <v>1800</v>
      </c>
      <c r="O740">
        <f t="shared" si="67"/>
        <v>1764</v>
      </c>
      <c r="P740" s="1">
        <f t="shared" si="68"/>
        <v>19.600000000000001</v>
      </c>
      <c r="Q740" s="1">
        <f t="shared" si="69"/>
        <v>3.7699111843077517</v>
      </c>
      <c r="R740" s="1">
        <f t="shared" si="70"/>
        <v>742.10701663098087</v>
      </c>
      <c r="S740" s="1">
        <f t="shared" si="71"/>
        <v>-2.8929833690191344</v>
      </c>
    </row>
    <row r="741" spans="1:19" x14ac:dyDescent="0.35">
      <c r="A741">
        <v>740</v>
      </c>
      <c r="B741" t="s">
        <v>48</v>
      </c>
      <c r="C741">
        <v>800</v>
      </c>
      <c r="D741" t="s">
        <v>32</v>
      </c>
      <c r="E741">
        <v>130</v>
      </c>
      <c r="F741">
        <v>200</v>
      </c>
      <c r="G741">
        <v>690</v>
      </c>
      <c r="H741">
        <v>9087</v>
      </c>
      <c r="I741">
        <v>84</v>
      </c>
      <c r="J741">
        <v>4</v>
      </c>
      <c r="K741" t="s">
        <v>16</v>
      </c>
      <c r="L741" t="s">
        <v>49</v>
      </c>
      <c r="M741">
        <v>3</v>
      </c>
      <c r="N741">
        <f t="shared" si="66"/>
        <v>1800</v>
      </c>
      <c r="O741">
        <f t="shared" si="67"/>
        <v>1764</v>
      </c>
      <c r="P741" s="1">
        <f t="shared" si="68"/>
        <v>21</v>
      </c>
      <c r="Q741" s="1">
        <f t="shared" si="69"/>
        <v>3.5185837720205684</v>
      </c>
      <c r="R741" s="1">
        <f t="shared" si="70"/>
        <v>692.63321552224886</v>
      </c>
      <c r="S741" s="1">
        <f t="shared" si="71"/>
        <v>2.6332155222488609</v>
      </c>
    </row>
    <row r="742" spans="1:19" x14ac:dyDescent="0.35">
      <c r="A742">
        <v>741</v>
      </c>
      <c r="B742" t="s">
        <v>48</v>
      </c>
      <c r="C742">
        <v>800</v>
      </c>
      <c r="D742" t="s">
        <v>32</v>
      </c>
      <c r="E742">
        <v>130</v>
      </c>
      <c r="F742">
        <v>200</v>
      </c>
      <c r="G742">
        <v>585</v>
      </c>
      <c r="H742">
        <v>10718</v>
      </c>
      <c r="I742">
        <v>71</v>
      </c>
      <c r="J742">
        <v>4</v>
      </c>
      <c r="K742" t="s">
        <v>16</v>
      </c>
      <c r="L742" t="s">
        <v>49</v>
      </c>
      <c r="M742">
        <v>3</v>
      </c>
      <c r="N742">
        <f t="shared" si="66"/>
        <v>1800</v>
      </c>
      <c r="O742">
        <f t="shared" si="67"/>
        <v>1764</v>
      </c>
      <c r="P742" s="1">
        <f t="shared" si="68"/>
        <v>24.845070422535212</v>
      </c>
      <c r="Q742" s="1">
        <f t="shared" si="69"/>
        <v>2.9740410453983377</v>
      </c>
      <c r="R742" s="1">
        <f t="shared" si="70"/>
        <v>585.43997978666278</v>
      </c>
      <c r="S742" s="1">
        <f t="shared" si="71"/>
        <v>0.43997978666277504</v>
      </c>
    </row>
    <row r="743" spans="1:19" x14ac:dyDescent="0.35">
      <c r="A743">
        <v>742</v>
      </c>
      <c r="B743" t="s">
        <v>48</v>
      </c>
      <c r="C743">
        <v>800</v>
      </c>
      <c r="D743" t="s">
        <v>32</v>
      </c>
      <c r="E743">
        <v>130</v>
      </c>
      <c r="F743">
        <v>200</v>
      </c>
      <c r="G743">
        <v>480</v>
      </c>
      <c r="H743">
        <v>13063</v>
      </c>
      <c r="I743">
        <v>58</v>
      </c>
      <c r="J743">
        <v>4</v>
      </c>
      <c r="K743" t="s">
        <v>16</v>
      </c>
      <c r="L743" t="s">
        <v>49</v>
      </c>
      <c r="M743">
        <v>3</v>
      </c>
      <c r="N743">
        <f t="shared" si="66"/>
        <v>1800</v>
      </c>
      <c r="O743">
        <f t="shared" si="67"/>
        <v>1764</v>
      </c>
      <c r="P743" s="1">
        <f t="shared" si="68"/>
        <v>30.413793103448278</v>
      </c>
      <c r="Q743" s="1">
        <f t="shared" si="69"/>
        <v>2.429498318776107</v>
      </c>
      <c r="R743" s="1">
        <f t="shared" si="70"/>
        <v>478.24674405107663</v>
      </c>
      <c r="S743" s="1">
        <f t="shared" si="71"/>
        <v>-1.7532559489233677</v>
      </c>
    </row>
    <row r="744" spans="1:19" x14ac:dyDescent="0.35">
      <c r="A744">
        <v>743</v>
      </c>
      <c r="B744" t="s">
        <v>48</v>
      </c>
      <c r="C744">
        <v>800</v>
      </c>
      <c r="D744" t="s">
        <v>32</v>
      </c>
      <c r="E744">
        <v>130</v>
      </c>
      <c r="F744">
        <v>180</v>
      </c>
      <c r="G744">
        <v>1077</v>
      </c>
      <c r="H744">
        <v>5144</v>
      </c>
      <c r="I744">
        <v>131</v>
      </c>
      <c r="J744">
        <v>4</v>
      </c>
      <c r="K744" t="s">
        <v>14</v>
      </c>
      <c r="L744" t="s">
        <v>49</v>
      </c>
      <c r="M744">
        <v>3</v>
      </c>
      <c r="N744">
        <f t="shared" si="66"/>
        <v>1800</v>
      </c>
      <c r="O744">
        <f t="shared" si="67"/>
        <v>1764</v>
      </c>
      <c r="P744" s="1">
        <f t="shared" si="68"/>
        <v>13.465648854961833</v>
      </c>
      <c r="Q744" s="1">
        <f t="shared" si="69"/>
        <v>5.4873151682701726</v>
      </c>
      <c r="R744" s="1">
        <f t="shared" si="70"/>
        <v>1080.1779908739834</v>
      </c>
      <c r="S744" s="1">
        <f t="shared" si="71"/>
        <v>3.17799087398339</v>
      </c>
    </row>
    <row r="745" spans="1:19" x14ac:dyDescent="0.35">
      <c r="A745">
        <v>744</v>
      </c>
      <c r="B745" t="s">
        <v>48</v>
      </c>
      <c r="C745">
        <v>800</v>
      </c>
      <c r="D745" t="s">
        <v>32</v>
      </c>
      <c r="E745">
        <v>130</v>
      </c>
      <c r="F745">
        <v>180</v>
      </c>
      <c r="G745">
        <v>914</v>
      </c>
      <c r="H745">
        <v>6063</v>
      </c>
      <c r="I745">
        <v>111</v>
      </c>
      <c r="J745">
        <v>4</v>
      </c>
      <c r="K745" t="s">
        <v>14</v>
      </c>
      <c r="L745" t="s">
        <v>49</v>
      </c>
      <c r="M745">
        <v>3</v>
      </c>
      <c r="N745">
        <f t="shared" si="66"/>
        <v>1800</v>
      </c>
      <c r="O745">
        <f t="shared" si="67"/>
        <v>1764</v>
      </c>
      <c r="P745" s="1">
        <f t="shared" si="68"/>
        <v>15.891891891891891</v>
      </c>
      <c r="Q745" s="1">
        <f t="shared" si="69"/>
        <v>4.6495571273128942</v>
      </c>
      <c r="R745" s="1">
        <f t="shared" si="70"/>
        <v>915.26532051154322</v>
      </c>
      <c r="S745" s="1">
        <f t="shared" si="71"/>
        <v>1.2653205115432229</v>
      </c>
    </row>
    <row r="746" spans="1:19" x14ac:dyDescent="0.35">
      <c r="A746">
        <v>745</v>
      </c>
      <c r="B746" t="s">
        <v>48</v>
      </c>
      <c r="C746">
        <v>800</v>
      </c>
      <c r="D746" t="s">
        <v>32</v>
      </c>
      <c r="E746">
        <v>130</v>
      </c>
      <c r="F746">
        <v>180</v>
      </c>
      <c r="G746">
        <v>745</v>
      </c>
      <c r="H746">
        <v>7908</v>
      </c>
      <c r="I746">
        <v>90</v>
      </c>
      <c r="J746">
        <v>4</v>
      </c>
      <c r="K746" t="s">
        <v>14</v>
      </c>
      <c r="L746" t="s">
        <v>49</v>
      </c>
      <c r="M746">
        <v>3</v>
      </c>
      <c r="N746">
        <f t="shared" si="66"/>
        <v>1800</v>
      </c>
      <c r="O746">
        <f t="shared" si="67"/>
        <v>1764</v>
      </c>
      <c r="P746" s="1">
        <f t="shared" si="68"/>
        <v>19.600000000000001</v>
      </c>
      <c r="Q746" s="1">
        <f t="shared" si="69"/>
        <v>3.7699111843077517</v>
      </c>
      <c r="R746" s="1">
        <f t="shared" si="70"/>
        <v>742.10701663098087</v>
      </c>
      <c r="S746" s="1">
        <f t="shared" si="71"/>
        <v>-2.8929833690191344</v>
      </c>
    </row>
    <row r="747" spans="1:19" x14ac:dyDescent="0.35">
      <c r="A747">
        <v>746</v>
      </c>
      <c r="B747" t="s">
        <v>48</v>
      </c>
      <c r="C747">
        <v>800</v>
      </c>
      <c r="D747" t="s">
        <v>32</v>
      </c>
      <c r="E747">
        <v>130</v>
      </c>
      <c r="F747">
        <v>150</v>
      </c>
      <c r="G747">
        <v>1077</v>
      </c>
      <c r="H747">
        <v>4287</v>
      </c>
      <c r="I747">
        <v>131</v>
      </c>
      <c r="J747">
        <v>4</v>
      </c>
      <c r="K747" t="s">
        <v>14</v>
      </c>
      <c r="L747" t="s">
        <v>49</v>
      </c>
      <c r="M747">
        <v>3</v>
      </c>
      <c r="N747">
        <f t="shared" si="66"/>
        <v>1800</v>
      </c>
      <c r="O747">
        <f t="shared" si="67"/>
        <v>1764</v>
      </c>
      <c r="P747" s="1">
        <f t="shared" si="68"/>
        <v>13.465648854961833</v>
      </c>
      <c r="Q747" s="1">
        <f t="shared" si="69"/>
        <v>5.4873151682701726</v>
      </c>
      <c r="R747" s="1">
        <f t="shared" si="70"/>
        <v>1080.1779908739834</v>
      </c>
      <c r="S747" s="1">
        <f t="shared" si="71"/>
        <v>3.17799087398339</v>
      </c>
    </row>
    <row r="748" spans="1:19" x14ac:dyDescent="0.35">
      <c r="A748">
        <v>747</v>
      </c>
      <c r="B748" t="s">
        <v>48</v>
      </c>
      <c r="C748">
        <v>800</v>
      </c>
      <c r="D748" t="s">
        <v>32</v>
      </c>
      <c r="E748">
        <v>130</v>
      </c>
      <c r="F748">
        <v>150</v>
      </c>
      <c r="G748">
        <v>914</v>
      </c>
      <c r="H748">
        <v>5053</v>
      </c>
      <c r="I748">
        <v>111</v>
      </c>
      <c r="J748">
        <v>4</v>
      </c>
      <c r="K748" t="s">
        <v>14</v>
      </c>
      <c r="L748" t="s">
        <v>49</v>
      </c>
      <c r="M748">
        <v>3</v>
      </c>
      <c r="N748">
        <f t="shared" si="66"/>
        <v>1800</v>
      </c>
      <c r="O748">
        <f t="shared" si="67"/>
        <v>1764</v>
      </c>
      <c r="P748" s="1">
        <f t="shared" si="68"/>
        <v>15.891891891891891</v>
      </c>
      <c r="Q748" s="1">
        <f t="shared" si="69"/>
        <v>4.6495571273128942</v>
      </c>
      <c r="R748" s="1">
        <f t="shared" si="70"/>
        <v>915.26532051154322</v>
      </c>
      <c r="S748" s="1">
        <f t="shared" si="71"/>
        <v>1.2653205115432229</v>
      </c>
    </row>
    <row r="749" spans="1:19" x14ac:dyDescent="0.35">
      <c r="A749">
        <v>748</v>
      </c>
      <c r="B749" t="s">
        <v>48</v>
      </c>
      <c r="C749">
        <v>800</v>
      </c>
      <c r="D749" t="s">
        <v>32</v>
      </c>
      <c r="E749">
        <v>130</v>
      </c>
      <c r="F749">
        <v>150</v>
      </c>
      <c r="G749">
        <v>745</v>
      </c>
      <c r="H749">
        <v>6590</v>
      </c>
      <c r="I749">
        <v>90</v>
      </c>
      <c r="J749">
        <v>4</v>
      </c>
      <c r="K749" t="s">
        <v>14</v>
      </c>
      <c r="L749" t="s">
        <v>49</v>
      </c>
      <c r="M749">
        <v>3</v>
      </c>
      <c r="N749">
        <f t="shared" si="66"/>
        <v>1800</v>
      </c>
      <c r="O749">
        <f t="shared" si="67"/>
        <v>1764</v>
      </c>
      <c r="P749" s="1">
        <f t="shared" si="68"/>
        <v>19.600000000000001</v>
      </c>
      <c r="Q749" s="1">
        <f t="shared" si="69"/>
        <v>3.7699111843077517</v>
      </c>
      <c r="R749" s="1">
        <f t="shared" si="70"/>
        <v>742.10701663098087</v>
      </c>
      <c r="S749" s="1">
        <f t="shared" si="71"/>
        <v>-2.8929833690191344</v>
      </c>
    </row>
    <row r="750" spans="1:19" x14ac:dyDescent="0.35">
      <c r="A750">
        <v>749</v>
      </c>
      <c r="B750" t="s">
        <v>48</v>
      </c>
      <c r="C750">
        <v>800</v>
      </c>
      <c r="D750" t="s">
        <v>32</v>
      </c>
      <c r="E750">
        <v>130</v>
      </c>
      <c r="F750">
        <v>150</v>
      </c>
      <c r="G750">
        <v>690</v>
      </c>
      <c r="H750">
        <v>6815</v>
      </c>
      <c r="I750">
        <v>84</v>
      </c>
      <c r="J750">
        <v>4</v>
      </c>
      <c r="K750" t="s">
        <v>16</v>
      </c>
      <c r="L750" t="s">
        <v>49</v>
      </c>
      <c r="M750">
        <v>3</v>
      </c>
      <c r="N750">
        <f t="shared" si="66"/>
        <v>1800</v>
      </c>
      <c r="O750">
        <f t="shared" si="67"/>
        <v>1764</v>
      </c>
      <c r="P750" s="1">
        <f t="shared" si="68"/>
        <v>21</v>
      </c>
      <c r="Q750" s="1">
        <f t="shared" si="69"/>
        <v>3.5185837720205684</v>
      </c>
      <c r="R750" s="1">
        <f t="shared" si="70"/>
        <v>692.63321552224886</v>
      </c>
      <c r="S750" s="1">
        <f t="shared" si="71"/>
        <v>2.6332155222488609</v>
      </c>
    </row>
    <row r="751" spans="1:19" x14ac:dyDescent="0.35">
      <c r="A751">
        <v>750</v>
      </c>
      <c r="B751" t="s">
        <v>48</v>
      </c>
      <c r="C751">
        <v>800</v>
      </c>
      <c r="D751" t="s">
        <v>32</v>
      </c>
      <c r="E751">
        <v>130</v>
      </c>
      <c r="F751">
        <v>150</v>
      </c>
      <c r="G751">
        <v>597</v>
      </c>
      <c r="H751">
        <v>7620</v>
      </c>
      <c r="I751">
        <v>72</v>
      </c>
      <c r="J751">
        <v>6</v>
      </c>
      <c r="K751" t="s">
        <v>14</v>
      </c>
      <c r="L751" t="s">
        <v>49</v>
      </c>
      <c r="M751">
        <v>3</v>
      </c>
      <c r="N751">
        <f t="shared" si="66"/>
        <v>1200</v>
      </c>
      <c r="O751">
        <f t="shared" si="67"/>
        <v>1176</v>
      </c>
      <c r="P751" s="1">
        <f t="shared" si="68"/>
        <v>16.333333333333332</v>
      </c>
      <c r="Q751" s="1">
        <f t="shared" si="69"/>
        <v>3.0159289474462017</v>
      </c>
      <c r="R751" s="1">
        <f t="shared" si="70"/>
        <v>593.68561330478474</v>
      </c>
      <c r="S751" s="1">
        <f t="shared" si="71"/>
        <v>-3.3143866952152621</v>
      </c>
    </row>
    <row r="752" spans="1:19" x14ac:dyDescent="0.35">
      <c r="A752">
        <v>751</v>
      </c>
      <c r="B752" t="s">
        <v>48</v>
      </c>
      <c r="C752">
        <v>800</v>
      </c>
      <c r="D752" t="s">
        <v>32</v>
      </c>
      <c r="E752">
        <v>130</v>
      </c>
      <c r="F752">
        <v>150</v>
      </c>
      <c r="G752">
        <v>480</v>
      </c>
      <c r="H752">
        <v>9797</v>
      </c>
      <c r="I752">
        <v>58</v>
      </c>
      <c r="J752">
        <v>4</v>
      </c>
      <c r="K752" t="s">
        <v>16</v>
      </c>
      <c r="L752" t="s">
        <v>49</v>
      </c>
      <c r="M752">
        <v>3</v>
      </c>
      <c r="N752">
        <f t="shared" si="66"/>
        <v>1800</v>
      </c>
      <c r="O752">
        <f t="shared" si="67"/>
        <v>1764</v>
      </c>
      <c r="P752" s="1">
        <f t="shared" si="68"/>
        <v>30.413793103448278</v>
      </c>
      <c r="Q752" s="1">
        <f t="shared" si="69"/>
        <v>2.429498318776107</v>
      </c>
      <c r="R752" s="1">
        <f t="shared" si="70"/>
        <v>478.24674405107663</v>
      </c>
      <c r="S752" s="1">
        <f t="shared" si="71"/>
        <v>-1.7532559489233677</v>
      </c>
    </row>
    <row r="753" spans="1:19" x14ac:dyDescent="0.35">
      <c r="A753">
        <v>752</v>
      </c>
      <c r="B753" t="s">
        <v>48</v>
      </c>
      <c r="C753">
        <v>800</v>
      </c>
      <c r="D753" t="s">
        <v>32</v>
      </c>
      <c r="E753">
        <v>130</v>
      </c>
      <c r="F753">
        <v>150</v>
      </c>
      <c r="G753">
        <v>458</v>
      </c>
      <c r="H753">
        <v>9950</v>
      </c>
      <c r="I753">
        <v>56</v>
      </c>
      <c r="J753">
        <v>6</v>
      </c>
      <c r="K753" t="s">
        <v>14</v>
      </c>
      <c r="L753" t="s">
        <v>49</v>
      </c>
      <c r="M753">
        <v>3</v>
      </c>
      <c r="N753">
        <f t="shared" si="66"/>
        <v>1200</v>
      </c>
      <c r="O753">
        <f t="shared" si="67"/>
        <v>1176</v>
      </c>
      <c r="P753" s="1">
        <f t="shared" si="68"/>
        <v>21</v>
      </c>
      <c r="Q753" s="1">
        <f t="shared" si="69"/>
        <v>2.3457225146803791</v>
      </c>
      <c r="R753" s="1">
        <f t="shared" si="70"/>
        <v>461.75547701483259</v>
      </c>
      <c r="S753" s="1">
        <f t="shared" si="71"/>
        <v>3.7554770148325929</v>
      </c>
    </row>
    <row r="754" spans="1:19" x14ac:dyDescent="0.35">
      <c r="A754">
        <v>753</v>
      </c>
      <c r="B754" t="s">
        <v>48</v>
      </c>
      <c r="C754">
        <v>800</v>
      </c>
      <c r="D754" t="s">
        <v>32</v>
      </c>
      <c r="E754">
        <v>130</v>
      </c>
      <c r="F754">
        <v>150</v>
      </c>
      <c r="G754">
        <v>388</v>
      </c>
      <c r="H754">
        <v>12120</v>
      </c>
      <c r="I754">
        <v>47</v>
      </c>
      <c r="J754">
        <v>6</v>
      </c>
      <c r="K754" t="s">
        <v>16</v>
      </c>
      <c r="L754" t="s">
        <v>49</v>
      </c>
      <c r="M754">
        <v>3</v>
      </c>
      <c r="N754">
        <f t="shared" si="66"/>
        <v>1200</v>
      </c>
      <c r="O754">
        <f t="shared" si="67"/>
        <v>1176</v>
      </c>
      <c r="P754" s="1">
        <f t="shared" si="68"/>
        <v>25.021276595744681</v>
      </c>
      <c r="Q754" s="1">
        <f t="shared" si="69"/>
        <v>1.9687313962496038</v>
      </c>
      <c r="R754" s="1">
        <f t="shared" si="70"/>
        <v>387.54477535173447</v>
      </c>
      <c r="S754" s="1">
        <f t="shared" si="71"/>
        <v>-0.45522464826552778</v>
      </c>
    </row>
    <row r="755" spans="1:19" x14ac:dyDescent="0.35">
      <c r="A755">
        <v>754</v>
      </c>
      <c r="B755" t="s">
        <v>48</v>
      </c>
      <c r="C755">
        <v>800</v>
      </c>
      <c r="D755" t="s">
        <v>32</v>
      </c>
      <c r="E755">
        <v>130</v>
      </c>
      <c r="F755">
        <v>150</v>
      </c>
      <c r="G755">
        <v>319</v>
      </c>
      <c r="H755">
        <v>14741</v>
      </c>
      <c r="I755">
        <v>39</v>
      </c>
      <c r="J755">
        <v>6</v>
      </c>
      <c r="K755" t="s">
        <v>16</v>
      </c>
      <c r="L755" t="s">
        <v>49</v>
      </c>
      <c r="M755">
        <v>3</v>
      </c>
      <c r="N755">
        <f t="shared" si="66"/>
        <v>1200</v>
      </c>
      <c r="O755">
        <f t="shared" si="67"/>
        <v>1176</v>
      </c>
      <c r="P755" s="1">
        <f t="shared" si="68"/>
        <v>30.153846153846153</v>
      </c>
      <c r="Q755" s="1">
        <f t="shared" si="69"/>
        <v>1.6336281798666925</v>
      </c>
      <c r="R755" s="1">
        <f t="shared" si="70"/>
        <v>321.57970720675843</v>
      </c>
      <c r="S755" s="1">
        <f t="shared" si="71"/>
        <v>2.5797072067584281</v>
      </c>
    </row>
    <row r="756" spans="1:19" x14ac:dyDescent="0.35">
      <c r="A756">
        <v>755</v>
      </c>
      <c r="B756" t="s">
        <v>48</v>
      </c>
      <c r="C756">
        <v>800</v>
      </c>
      <c r="D756" t="s">
        <v>32</v>
      </c>
      <c r="E756">
        <v>130</v>
      </c>
      <c r="F756">
        <v>125</v>
      </c>
      <c r="G756">
        <v>1091</v>
      </c>
      <c r="H756">
        <v>3462</v>
      </c>
      <c r="I756">
        <v>132</v>
      </c>
      <c r="J756">
        <v>6</v>
      </c>
      <c r="K756" t="s">
        <v>14</v>
      </c>
      <c r="L756" t="s">
        <v>49</v>
      </c>
      <c r="M756">
        <v>3</v>
      </c>
      <c r="N756">
        <f t="shared" si="66"/>
        <v>1200</v>
      </c>
      <c r="O756">
        <f t="shared" si="67"/>
        <v>1176</v>
      </c>
      <c r="P756" s="1">
        <f t="shared" si="68"/>
        <v>8.9090909090909083</v>
      </c>
      <c r="Q756" s="1">
        <f t="shared" si="69"/>
        <v>5.5292030703180366</v>
      </c>
      <c r="R756" s="1">
        <f t="shared" si="70"/>
        <v>1088.4236243921055</v>
      </c>
      <c r="S756" s="1">
        <f t="shared" si="71"/>
        <v>-2.5763756078945335</v>
      </c>
    </row>
    <row r="757" spans="1:19" x14ac:dyDescent="0.35">
      <c r="A757">
        <v>756</v>
      </c>
      <c r="B757" t="s">
        <v>48</v>
      </c>
      <c r="C757">
        <v>800</v>
      </c>
      <c r="D757" t="s">
        <v>32</v>
      </c>
      <c r="E757">
        <v>130</v>
      </c>
      <c r="F757">
        <v>125</v>
      </c>
      <c r="G757">
        <v>917</v>
      </c>
      <c r="H757">
        <v>4117</v>
      </c>
      <c r="I757">
        <v>111</v>
      </c>
      <c r="J757">
        <v>6</v>
      </c>
      <c r="K757" t="s">
        <v>14</v>
      </c>
      <c r="L757" t="s">
        <v>49</v>
      </c>
      <c r="M757">
        <v>3</v>
      </c>
      <c r="N757">
        <f t="shared" si="66"/>
        <v>1200</v>
      </c>
      <c r="O757">
        <f t="shared" si="67"/>
        <v>1176</v>
      </c>
      <c r="P757" s="1">
        <f t="shared" si="68"/>
        <v>10.594594594594595</v>
      </c>
      <c r="Q757" s="1">
        <f t="shared" si="69"/>
        <v>4.6495571273128942</v>
      </c>
      <c r="R757" s="1">
        <f t="shared" si="70"/>
        <v>915.26532051154322</v>
      </c>
      <c r="S757" s="1">
        <f t="shared" si="71"/>
        <v>-1.7346794884567771</v>
      </c>
    </row>
    <row r="758" spans="1:19" x14ac:dyDescent="0.35">
      <c r="A758">
        <v>757</v>
      </c>
      <c r="B758" t="s">
        <v>48</v>
      </c>
      <c r="C758">
        <v>800</v>
      </c>
      <c r="D758" t="s">
        <v>32</v>
      </c>
      <c r="E758">
        <v>130</v>
      </c>
      <c r="F758">
        <v>125</v>
      </c>
      <c r="G758">
        <v>703</v>
      </c>
      <c r="H758">
        <v>5369</v>
      </c>
      <c r="I758">
        <v>85</v>
      </c>
      <c r="J758">
        <v>6</v>
      </c>
      <c r="K758" t="s">
        <v>14</v>
      </c>
      <c r="L758" t="s">
        <v>49</v>
      </c>
      <c r="M758">
        <v>3</v>
      </c>
      <c r="N758">
        <f t="shared" si="66"/>
        <v>1200</v>
      </c>
      <c r="O758">
        <f t="shared" si="67"/>
        <v>1176</v>
      </c>
      <c r="P758" s="1">
        <f t="shared" si="68"/>
        <v>13.835294117647059</v>
      </c>
      <c r="Q758" s="1">
        <f t="shared" si="69"/>
        <v>3.5604716740684328</v>
      </c>
      <c r="R758" s="1">
        <f t="shared" si="70"/>
        <v>700.87884904037094</v>
      </c>
      <c r="S758" s="1">
        <f t="shared" si="71"/>
        <v>-2.1211509596290625</v>
      </c>
    </row>
    <row r="759" spans="1:19" x14ac:dyDescent="0.35">
      <c r="A759">
        <v>758</v>
      </c>
      <c r="B759" t="s">
        <v>48</v>
      </c>
      <c r="C759">
        <v>800</v>
      </c>
      <c r="D759" t="s">
        <v>32</v>
      </c>
      <c r="E759">
        <v>130</v>
      </c>
      <c r="F759">
        <v>125</v>
      </c>
      <c r="G759">
        <v>597</v>
      </c>
      <c r="H759">
        <v>6328</v>
      </c>
      <c r="I759">
        <v>72</v>
      </c>
      <c r="J759">
        <v>6</v>
      </c>
      <c r="K759" t="s">
        <v>14</v>
      </c>
      <c r="L759" t="s">
        <v>49</v>
      </c>
      <c r="M759">
        <v>3</v>
      </c>
      <c r="N759">
        <f t="shared" si="66"/>
        <v>1200</v>
      </c>
      <c r="O759">
        <f t="shared" si="67"/>
        <v>1176</v>
      </c>
      <c r="P759" s="1">
        <f t="shared" si="68"/>
        <v>16.333333333333332</v>
      </c>
      <c r="Q759" s="1">
        <f t="shared" si="69"/>
        <v>3.0159289474462017</v>
      </c>
      <c r="R759" s="1">
        <f t="shared" si="70"/>
        <v>593.68561330478474</v>
      </c>
      <c r="S759" s="1">
        <f t="shared" si="71"/>
        <v>-3.3143866952152621</v>
      </c>
    </row>
    <row r="760" spans="1:19" x14ac:dyDescent="0.35">
      <c r="A760">
        <v>759</v>
      </c>
      <c r="B760" t="s">
        <v>48</v>
      </c>
      <c r="C760">
        <v>800</v>
      </c>
      <c r="D760" t="s">
        <v>32</v>
      </c>
      <c r="E760">
        <v>130</v>
      </c>
      <c r="F760">
        <v>125</v>
      </c>
      <c r="G760">
        <v>458</v>
      </c>
      <c r="H760">
        <v>8253</v>
      </c>
      <c r="I760">
        <v>56</v>
      </c>
      <c r="J760">
        <v>6</v>
      </c>
      <c r="K760" t="s">
        <v>14</v>
      </c>
      <c r="L760" t="s">
        <v>49</v>
      </c>
      <c r="M760">
        <v>3</v>
      </c>
      <c r="N760">
        <f t="shared" si="66"/>
        <v>1200</v>
      </c>
      <c r="O760">
        <f t="shared" si="67"/>
        <v>1176</v>
      </c>
      <c r="P760" s="1">
        <f t="shared" si="68"/>
        <v>21</v>
      </c>
      <c r="Q760" s="1">
        <f t="shared" si="69"/>
        <v>2.3457225146803791</v>
      </c>
      <c r="R760" s="1">
        <f t="shared" si="70"/>
        <v>461.75547701483259</v>
      </c>
      <c r="S760" s="1">
        <f t="shared" si="71"/>
        <v>3.7554770148325929</v>
      </c>
    </row>
    <row r="761" spans="1:19" x14ac:dyDescent="0.35">
      <c r="A761">
        <v>760</v>
      </c>
      <c r="B761" t="s">
        <v>48</v>
      </c>
      <c r="C761">
        <v>800</v>
      </c>
      <c r="D761" t="s">
        <v>32</v>
      </c>
      <c r="E761">
        <v>130</v>
      </c>
      <c r="F761">
        <v>100</v>
      </c>
      <c r="G761">
        <v>1091</v>
      </c>
      <c r="H761">
        <v>2885</v>
      </c>
      <c r="I761">
        <v>132</v>
      </c>
      <c r="J761">
        <v>6</v>
      </c>
      <c r="K761" t="s">
        <v>14</v>
      </c>
      <c r="L761" t="s">
        <v>49</v>
      </c>
      <c r="M761">
        <v>3</v>
      </c>
      <c r="N761">
        <f t="shared" si="66"/>
        <v>1200</v>
      </c>
      <c r="O761">
        <f t="shared" si="67"/>
        <v>1176</v>
      </c>
      <c r="P761" s="1">
        <f t="shared" si="68"/>
        <v>8.9090909090909083</v>
      </c>
      <c r="Q761" s="1">
        <f t="shared" si="69"/>
        <v>5.5292030703180366</v>
      </c>
      <c r="R761" s="1">
        <f t="shared" si="70"/>
        <v>1088.4236243921055</v>
      </c>
      <c r="S761" s="1">
        <f t="shared" si="71"/>
        <v>-2.5763756078945335</v>
      </c>
    </row>
    <row r="762" spans="1:19" x14ac:dyDescent="0.35">
      <c r="A762">
        <v>761</v>
      </c>
      <c r="B762" t="s">
        <v>48</v>
      </c>
      <c r="C762">
        <v>800</v>
      </c>
      <c r="D762" t="s">
        <v>32</v>
      </c>
      <c r="E762">
        <v>130</v>
      </c>
      <c r="F762">
        <v>100</v>
      </c>
      <c r="G762">
        <v>917</v>
      </c>
      <c r="H762">
        <v>3430</v>
      </c>
      <c r="I762">
        <v>111</v>
      </c>
      <c r="J762">
        <v>6</v>
      </c>
      <c r="K762" t="s">
        <v>14</v>
      </c>
      <c r="L762" t="s">
        <v>49</v>
      </c>
      <c r="M762">
        <v>3</v>
      </c>
      <c r="N762">
        <f t="shared" si="66"/>
        <v>1200</v>
      </c>
      <c r="O762">
        <f t="shared" si="67"/>
        <v>1176</v>
      </c>
      <c r="P762" s="1">
        <f t="shared" si="68"/>
        <v>10.594594594594595</v>
      </c>
      <c r="Q762" s="1">
        <f t="shared" si="69"/>
        <v>4.6495571273128942</v>
      </c>
      <c r="R762" s="1">
        <f t="shared" si="70"/>
        <v>915.26532051154322</v>
      </c>
      <c r="S762" s="1">
        <f t="shared" si="71"/>
        <v>-1.7346794884567771</v>
      </c>
    </row>
    <row r="763" spans="1:19" x14ac:dyDescent="0.35">
      <c r="A763">
        <v>762</v>
      </c>
      <c r="B763" t="s">
        <v>48</v>
      </c>
      <c r="C763">
        <v>800</v>
      </c>
      <c r="D763" t="s">
        <v>32</v>
      </c>
      <c r="E763">
        <v>130</v>
      </c>
      <c r="F763">
        <v>100</v>
      </c>
      <c r="G763">
        <v>703</v>
      </c>
      <c r="H763">
        <v>4474</v>
      </c>
      <c r="I763">
        <v>85</v>
      </c>
      <c r="J763">
        <v>6</v>
      </c>
      <c r="K763" t="s">
        <v>14</v>
      </c>
      <c r="L763" t="s">
        <v>49</v>
      </c>
      <c r="M763">
        <v>3</v>
      </c>
      <c r="N763">
        <f t="shared" si="66"/>
        <v>1200</v>
      </c>
      <c r="O763">
        <f t="shared" si="67"/>
        <v>1176</v>
      </c>
      <c r="P763" s="1">
        <f t="shared" si="68"/>
        <v>13.835294117647059</v>
      </c>
      <c r="Q763" s="1">
        <f t="shared" si="69"/>
        <v>3.5604716740684328</v>
      </c>
      <c r="R763" s="1">
        <f t="shared" si="70"/>
        <v>700.87884904037094</v>
      </c>
      <c r="S763" s="1">
        <f t="shared" si="71"/>
        <v>-2.1211509596290625</v>
      </c>
    </row>
    <row r="764" spans="1:19" x14ac:dyDescent="0.35">
      <c r="A764">
        <v>763</v>
      </c>
      <c r="B764" t="s">
        <v>48</v>
      </c>
      <c r="C764">
        <v>800</v>
      </c>
      <c r="D764" t="s">
        <v>32</v>
      </c>
      <c r="E764">
        <v>130</v>
      </c>
      <c r="F764">
        <v>100</v>
      </c>
      <c r="G764">
        <v>597</v>
      </c>
      <c r="H764">
        <v>5273</v>
      </c>
      <c r="I764">
        <v>72</v>
      </c>
      <c r="J764">
        <v>6</v>
      </c>
      <c r="K764" t="s">
        <v>14</v>
      </c>
      <c r="L764" t="s">
        <v>49</v>
      </c>
      <c r="M764">
        <v>3</v>
      </c>
      <c r="N764">
        <f t="shared" si="66"/>
        <v>1200</v>
      </c>
      <c r="O764">
        <f t="shared" si="67"/>
        <v>1176</v>
      </c>
      <c r="P764" s="1">
        <f t="shared" si="68"/>
        <v>16.333333333333332</v>
      </c>
      <c r="Q764" s="1">
        <f t="shared" si="69"/>
        <v>3.0159289474462017</v>
      </c>
      <c r="R764" s="1">
        <f t="shared" si="70"/>
        <v>593.68561330478474</v>
      </c>
      <c r="S764" s="1">
        <f t="shared" si="71"/>
        <v>-3.3143866952152621</v>
      </c>
    </row>
    <row r="765" spans="1:19" x14ac:dyDescent="0.35">
      <c r="A765">
        <v>764</v>
      </c>
      <c r="B765" t="s">
        <v>48</v>
      </c>
      <c r="C765">
        <v>800</v>
      </c>
      <c r="D765" t="s">
        <v>32</v>
      </c>
      <c r="E765">
        <v>130</v>
      </c>
      <c r="F765">
        <v>100</v>
      </c>
      <c r="G765">
        <v>458</v>
      </c>
      <c r="H765">
        <v>6878</v>
      </c>
      <c r="I765">
        <v>56</v>
      </c>
      <c r="J765">
        <v>6</v>
      </c>
      <c r="K765" t="s">
        <v>14</v>
      </c>
      <c r="L765" t="s">
        <v>49</v>
      </c>
      <c r="M765">
        <v>3</v>
      </c>
      <c r="N765">
        <f t="shared" si="66"/>
        <v>1200</v>
      </c>
      <c r="O765">
        <f t="shared" si="67"/>
        <v>1176</v>
      </c>
      <c r="P765" s="1">
        <f t="shared" si="68"/>
        <v>21</v>
      </c>
      <c r="Q765" s="1">
        <f t="shared" si="69"/>
        <v>2.3457225146803791</v>
      </c>
      <c r="R765" s="1">
        <f t="shared" si="70"/>
        <v>461.75547701483259</v>
      </c>
      <c r="S765" s="1">
        <f t="shared" si="71"/>
        <v>3.7554770148325929</v>
      </c>
    </row>
    <row r="766" spans="1:19" x14ac:dyDescent="0.35">
      <c r="A766">
        <v>765</v>
      </c>
      <c r="B766" t="s">
        <v>48</v>
      </c>
      <c r="C766">
        <v>800</v>
      </c>
      <c r="D766" t="s">
        <v>32</v>
      </c>
      <c r="E766">
        <v>130</v>
      </c>
      <c r="F766">
        <v>75</v>
      </c>
      <c r="G766">
        <v>1091</v>
      </c>
      <c r="H766">
        <v>2116</v>
      </c>
      <c r="I766">
        <v>132</v>
      </c>
      <c r="J766">
        <v>6</v>
      </c>
      <c r="K766" t="s">
        <v>14</v>
      </c>
      <c r="L766" t="s">
        <v>49</v>
      </c>
      <c r="M766">
        <v>3</v>
      </c>
      <c r="N766">
        <f t="shared" si="66"/>
        <v>1200</v>
      </c>
      <c r="O766">
        <f t="shared" si="67"/>
        <v>1176</v>
      </c>
      <c r="P766" s="1">
        <f t="shared" si="68"/>
        <v>8.9090909090909083</v>
      </c>
      <c r="Q766" s="1">
        <f t="shared" si="69"/>
        <v>5.5292030703180366</v>
      </c>
      <c r="R766" s="1">
        <f t="shared" si="70"/>
        <v>1088.4236243921055</v>
      </c>
      <c r="S766" s="1">
        <f t="shared" si="71"/>
        <v>-2.5763756078945335</v>
      </c>
    </row>
    <row r="767" spans="1:19" x14ac:dyDescent="0.35">
      <c r="A767">
        <v>766</v>
      </c>
      <c r="B767" t="s">
        <v>48</v>
      </c>
      <c r="C767">
        <v>800</v>
      </c>
      <c r="D767" t="s">
        <v>32</v>
      </c>
      <c r="E767">
        <v>130</v>
      </c>
      <c r="F767">
        <v>75</v>
      </c>
      <c r="G767">
        <v>917</v>
      </c>
      <c r="H767">
        <v>2516</v>
      </c>
      <c r="I767">
        <v>111</v>
      </c>
      <c r="J767">
        <v>6</v>
      </c>
      <c r="K767" t="s">
        <v>14</v>
      </c>
      <c r="L767" t="s">
        <v>49</v>
      </c>
      <c r="M767">
        <v>3</v>
      </c>
      <c r="N767">
        <f t="shared" si="66"/>
        <v>1200</v>
      </c>
      <c r="O767">
        <f t="shared" si="67"/>
        <v>1176</v>
      </c>
      <c r="P767" s="1">
        <f t="shared" si="68"/>
        <v>10.594594594594595</v>
      </c>
      <c r="Q767" s="1">
        <f t="shared" si="69"/>
        <v>4.6495571273128942</v>
      </c>
      <c r="R767" s="1">
        <f t="shared" si="70"/>
        <v>915.26532051154322</v>
      </c>
      <c r="S767" s="1">
        <f t="shared" si="71"/>
        <v>-1.7346794884567771</v>
      </c>
    </row>
    <row r="768" spans="1:19" x14ac:dyDescent="0.35">
      <c r="A768">
        <v>767</v>
      </c>
      <c r="B768" t="s">
        <v>48</v>
      </c>
      <c r="C768">
        <v>800</v>
      </c>
      <c r="D768" t="s">
        <v>32</v>
      </c>
      <c r="E768">
        <v>130</v>
      </c>
      <c r="F768">
        <v>75</v>
      </c>
      <c r="G768">
        <v>703</v>
      </c>
      <c r="H768">
        <v>3281</v>
      </c>
      <c r="I768">
        <v>85</v>
      </c>
      <c r="J768">
        <v>6</v>
      </c>
      <c r="K768" t="s">
        <v>14</v>
      </c>
      <c r="L768" t="s">
        <v>49</v>
      </c>
      <c r="M768">
        <v>3</v>
      </c>
      <c r="N768">
        <f t="shared" si="66"/>
        <v>1200</v>
      </c>
      <c r="O768">
        <f t="shared" si="67"/>
        <v>1176</v>
      </c>
      <c r="P768" s="1">
        <f t="shared" si="68"/>
        <v>13.835294117647059</v>
      </c>
      <c r="Q768" s="1">
        <f t="shared" si="69"/>
        <v>3.5604716740684328</v>
      </c>
      <c r="R768" s="1">
        <f t="shared" si="70"/>
        <v>700.87884904037094</v>
      </c>
      <c r="S768" s="1">
        <f t="shared" si="71"/>
        <v>-2.1211509596290625</v>
      </c>
    </row>
    <row r="769" spans="1:19" x14ac:dyDescent="0.35">
      <c r="A769">
        <v>768</v>
      </c>
      <c r="B769" t="s">
        <v>48</v>
      </c>
      <c r="C769">
        <v>800</v>
      </c>
      <c r="D769" t="s">
        <v>32</v>
      </c>
      <c r="E769">
        <v>130</v>
      </c>
      <c r="F769">
        <v>75</v>
      </c>
      <c r="G769">
        <v>597</v>
      </c>
      <c r="H769">
        <v>3867</v>
      </c>
      <c r="I769">
        <v>72</v>
      </c>
      <c r="J769">
        <v>6</v>
      </c>
      <c r="K769" t="s">
        <v>14</v>
      </c>
      <c r="L769" t="s">
        <v>49</v>
      </c>
      <c r="M769">
        <v>3</v>
      </c>
      <c r="N769">
        <f t="shared" si="66"/>
        <v>1200</v>
      </c>
      <c r="O769">
        <f t="shared" si="67"/>
        <v>1176</v>
      </c>
      <c r="P769" s="1">
        <f t="shared" si="68"/>
        <v>16.333333333333332</v>
      </c>
      <c r="Q769" s="1">
        <f t="shared" si="69"/>
        <v>3.0159289474462017</v>
      </c>
      <c r="R769" s="1">
        <f t="shared" si="70"/>
        <v>593.68561330478474</v>
      </c>
      <c r="S769" s="1">
        <f t="shared" si="71"/>
        <v>-3.3143866952152621</v>
      </c>
    </row>
    <row r="770" spans="1:19" x14ac:dyDescent="0.35">
      <c r="A770">
        <v>769</v>
      </c>
      <c r="B770" t="s">
        <v>48</v>
      </c>
      <c r="C770">
        <v>800</v>
      </c>
      <c r="D770" t="s">
        <v>32</v>
      </c>
      <c r="E770">
        <v>130</v>
      </c>
      <c r="F770">
        <v>75</v>
      </c>
      <c r="G770">
        <v>458</v>
      </c>
      <c r="H770">
        <v>5044</v>
      </c>
      <c r="I770">
        <v>56</v>
      </c>
      <c r="J770">
        <v>6</v>
      </c>
      <c r="K770" t="s">
        <v>14</v>
      </c>
      <c r="L770" t="s">
        <v>49</v>
      </c>
      <c r="M770">
        <v>3</v>
      </c>
      <c r="N770">
        <f t="shared" si="66"/>
        <v>1200</v>
      </c>
      <c r="O770">
        <f t="shared" si="67"/>
        <v>1176</v>
      </c>
      <c r="P770" s="1">
        <f t="shared" si="68"/>
        <v>21</v>
      </c>
      <c r="Q770" s="1">
        <f t="shared" si="69"/>
        <v>2.3457225146803791</v>
      </c>
      <c r="R770" s="1">
        <f t="shared" si="70"/>
        <v>461.75547701483259</v>
      </c>
      <c r="S770" s="1">
        <f t="shared" si="71"/>
        <v>3.7554770148325929</v>
      </c>
    </row>
    <row r="771" spans="1:19" x14ac:dyDescent="0.35">
      <c r="A771">
        <v>770</v>
      </c>
      <c r="B771" t="s">
        <v>50</v>
      </c>
      <c r="C771">
        <v>915</v>
      </c>
      <c r="D771" t="s">
        <v>32</v>
      </c>
      <c r="E771">
        <v>160</v>
      </c>
      <c r="F771">
        <v>500</v>
      </c>
      <c r="G771">
        <v>745</v>
      </c>
      <c r="H771">
        <v>21483</v>
      </c>
      <c r="I771">
        <v>79</v>
      </c>
      <c r="J771">
        <v>4</v>
      </c>
      <c r="K771" t="s">
        <v>16</v>
      </c>
      <c r="L771" t="s">
        <v>51</v>
      </c>
      <c r="M771">
        <v>3</v>
      </c>
      <c r="N771">
        <f t="shared" ref="N771:N788" si="72">60*60*2/J771</f>
        <v>1800</v>
      </c>
      <c r="O771">
        <f t="shared" ref="O771:O788" si="73">N771*(1-0.02)</f>
        <v>1764</v>
      </c>
      <c r="P771" s="1">
        <f t="shared" ref="P771:P788" si="74">O771/I771</f>
        <v>22.329113924050635</v>
      </c>
      <c r="Q771" s="1">
        <f t="shared" ref="Q771:Q788" si="75">(I771*2*PI()/60)*(C771/2000)</f>
        <v>3.7848337494123037</v>
      </c>
      <c r="R771" s="1">
        <f t="shared" ref="R771:R788" si="76">Q771*196.85</f>
        <v>745.04452357181196</v>
      </c>
      <c r="S771" s="1">
        <f t="shared" ref="S771:S788" si="77">R771-G771</f>
        <v>4.4523571811964757E-2</v>
      </c>
    </row>
    <row r="772" spans="1:19" x14ac:dyDescent="0.35">
      <c r="A772">
        <v>771</v>
      </c>
      <c r="B772" t="s">
        <v>50</v>
      </c>
      <c r="C772">
        <v>915</v>
      </c>
      <c r="D772" t="s">
        <v>32</v>
      </c>
      <c r="E772">
        <v>160</v>
      </c>
      <c r="F772">
        <v>500</v>
      </c>
      <c r="G772">
        <v>627</v>
      </c>
      <c r="H772">
        <v>25526</v>
      </c>
      <c r="I772">
        <v>67</v>
      </c>
      <c r="J772">
        <v>4</v>
      </c>
      <c r="K772" t="s">
        <v>16</v>
      </c>
      <c r="L772" t="s">
        <v>51</v>
      </c>
      <c r="M772">
        <v>3</v>
      </c>
      <c r="N772">
        <f t="shared" si="72"/>
        <v>1800</v>
      </c>
      <c r="O772">
        <f t="shared" si="73"/>
        <v>1764</v>
      </c>
      <c r="P772" s="1">
        <f t="shared" si="74"/>
        <v>26.328358208955223</v>
      </c>
      <c r="Q772" s="1">
        <f t="shared" si="75"/>
        <v>3.2099222938053713</v>
      </c>
      <c r="R772" s="1">
        <f t="shared" si="76"/>
        <v>631.87320353558732</v>
      </c>
      <c r="S772" s="1">
        <f t="shared" si="77"/>
        <v>4.8732035355873222</v>
      </c>
    </row>
    <row r="773" spans="1:19" x14ac:dyDescent="0.35">
      <c r="A773">
        <v>772</v>
      </c>
      <c r="B773" t="s">
        <v>50</v>
      </c>
      <c r="C773">
        <v>915</v>
      </c>
      <c r="D773" t="s">
        <v>32</v>
      </c>
      <c r="E773">
        <v>160</v>
      </c>
      <c r="F773">
        <v>500</v>
      </c>
      <c r="G773">
        <v>550</v>
      </c>
      <c r="H773">
        <v>29100</v>
      </c>
      <c r="I773">
        <v>58</v>
      </c>
      <c r="J773">
        <v>4</v>
      </c>
      <c r="K773" t="s">
        <v>16</v>
      </c>
      <c r="L773" t="s">
        <v>51</v>
      </c>
      <c r="M773">
        <v>3</v>
      </c>
      <c r="N773">
        <f t="shared" si="72"/>
        <v>1800</v>
      </c>
      <c r="O773">
        <f t="shared" si="73"/>
        <v>1764</v>
      </c>
      <c r="P773" s="1">
        <f t="shared" si="74"/>
        <v>30.413793103448278</v>
      </c>
      <c r="Q773" s="1">
        <f t="shared" si="75"/>
        <v>2.7787387021001724</v>
      </c>
      <c r="R773" s="1">
        <f t="shared" si="76"/>
        <v>546.99471350841895</v>
      </c>
      <c r="S773" s="1">
        <f t="shared" si="77"/>
        <v>-3.005286491581046</v>
      </c>
    </row>
    <row r="774" spans="1:19" x14ac:dyDescent="0.35">
      <c r="A774">
        <v>773</v>
      </c>
      <c r="B774" t="s">
        <v>50</v>
      </c>
      <c r="C774">
        <v>915</v>
      </c>
      <c r="D774" t="s">
        <v>32</v>
      </c>
      <c r="E774">
        <v>160</v>
      </c>
      <c r="F774">
        <v>400</v>
      </c>
      <c r="G774">
        <v>745</v>
      </c>
      <c r="H774">
        <v>17187</v>
      </c>
      <c r="I774">
        <v>79</v>
      </c>
      <c r="J774">
        <v>4</v>
      </c>
      <c r="K774" t="s">
        <v>16</v>
      </c>
      <c r="L774" t="s">
        <v>51</v>
      </c>
      <c r="M774">
        <v>3</v>
      </c>
      <c r="N774">
        <f t="shared" si="72"/>
        <v>1800</v>
      </c>
      <c r="O774">
        <f t="shared" si="73"/>
        <v>1764</v>
      </c>
      <c r="P774" s="1">
        <f t="shared" si="74"/>
        <v>22.329113924050635</v>
      </c>
      <c r="Q774" s="1">
        <f t="shared" si="75"/>
        <v>3.7848337494123037</v>
      </c>
      <c r="R774" s="1">
        <f t="shared" si="76"/>
        <v>745.04452357181196</v>
      </c>
      <c r="S774" s="1">
        <f t="shared" si="77"/>
        <v>4.4523571811964757E-2</v>
      </c>
    </row>
    <row r="775" spans="1:19" x14ac:dyDescent="0.35">
      <c r="A775">
        <v>774</v>
      </c>
      <c r="B775" t="s">
        <v>50</v>
      </c>
      <c r="C775">
        <v>915</v>
      </c>
      <c r="D775" t="s">
        <v>32</v>
      </c>
      <c r="E775">
        <v>160</v>
      </c>
      <c r="F775">
        <v>400</v>
      </c>
      <c r="G775">
        <v>627</v>
      </c>
      <c r="H775">
        <v>20421</v>
      </c>
      <c r="I775">
        <v>67</v>
      </c>
      <c r="J775">
        <v>4</v>
      </c>
      <c r="K775" t="s">
        <v>16</v>
      </c>
      <c r="L775" t="s">
        <v>51</v>
      </c>
      <c r="M775">
        <v>3</v>
      </c>
      <c r="N775">
        <f t="shared" si="72"/>
        <v>1800</v>
      </c>
      <c r="O775">
        <f t="shared" si="73"/>
        <v>1764</v>
      </c>
      <c r="P775" s="1">
        <f t="shared" si="74"/>
        <v>26.328358208955223</v>
      </c>
      <c r="Q775" s="1">
        <f t="shared" si="75"/>
        <v>3.2099222938053713</v>
      </c>
      <c r="R775" s="1">
        <f t="shared" si="76"/>
        <v>631.87320353558732</v>
      </c>
      <c r="S775" s="1">
        <f t="shared" si="77"/>
        <v>4.8732035355873222</v>
      </c>
    </row>
    <row r="776" spans="1:19" x14ac:dyDescent="0.35">
      <c r="A776">
        <v>775</v>
      </c>
      <c r="B776" t="s">
        <v>50</v>
      </c>
      <c r="C776">
        <v>915</v>
      </c>
      <c r="D776" t="s">
        <v>32</v>
      </c>
      <c r="E776">
        <v>160</v>
      </c>
      <c r="F776">
        <v>400</v>
      </c>
      <c r="G776">
        <v>550</v>
      </c>
      <c r="H776">
        <v>23280</v>
      </c>
      <c r="I776">
        <v>58</v>
      </c>
      <c r="J776">
        <v>4</v>
      </c>
      <c r="K776" t="s">
        <v>16</v>
      </c>
      <c r="L776" t="s">
        <v>51</v>
      </c>
      <c r="M776">
        <v>3</v>
      </c>
      <c r="N776">
        <f t="shared" si="72"/>
        <v>1800</v>
      </c>
      <c r="O776">
        <f t="shared" si="73"/>
        <v>1764</v>
      </c>
      <c r="P776" s="1">
        <f t="shared" si="74"/>
        <v>30.413793103448278</v>
      </c>
      <c r="Q776" s="1">
        <f t="shared" si="75"/>
        <v>2.7787387021001724</v>
      </c>
      <c r="R776" s="1">
        <f t="shared" si="76"/>
        <v>546.99471350841895</v>
      </c>
      <c r="S776" s="1">
        <f t="shared" si="77"/>
        <v>-3.005286491581046</v>
      </c>
    </row>
    <row r="777" spans="1:19" x14ac:dyDescent="0.35">
      <c r="A777">
        <v>776</v>
      </c>
      <c r="B777" t="s">
        <v>50</v>
      </c>
      <c r="C777">
        <v>915</v>
      </c>
      <c r="D777" t="s">
        <v>32</v>
      </c>
      <c r="E777">
        <v>160</v>
      </c>
      <c r="F777">
        <v>350</v>
      </c>
      <c r="G777">
        <v>745</v>
      </c>
      <c r="H777">
        <v>15024</v>
      </c>
      <c r="I777">
        <v>79</v>
      </c>
      <c r="J777">
        <v>4</v>
      </c>
      <c r="K777" t="s">
        <v>16</v>
      </c>
      <c r="L777" t="s">
        <v>51</v>
      </c>
      <c r="M777">
        <v>3</v>
      </c>
      <c r="N777">
        <f t="shared" si="72"/>
        <v>1800</v>
      </c>
      <c r="O777">
        <f t="shared" si="73"/>
        <v>1764</v>
      </c>
      <c r="P777" s="1">
        <f t="shared" si="74"/>
        <v>22.329113924050635</v>
      </c>
      <c r="Q777" s="1">
        <f t="shared" si="75"/>
        <v>3.7848337494123037</v>
      </c>
      <c r="R777" s="1">
        <f t="shared" si="76"/>
        <v>745.04452357181196</v>
      </c>
      <c r="S777" s="1">
        <f t="shared" si="77"/>
        <v>4.4523571811964757E-2</v>
      </c>
    </row>
    <row r="778" spans="1:19" x14ac:dyDescent="0.35">
      <c r="A778">
        <v>777</v>
      </c>
      <c r="B778" t="s">
        <v>50</v>
      </c>
      <c r="C778">
        <v>915</v>
      </c>
      <c r="D778" t="s">
        <v>32</v>
      </c>
      <c r="E778">
        <v>160</v>
      </c>
      <c r="F778">
        <v>350</v>
      </c>
      <c r="G778">
        <v>627</v>
      </c>
      <c r="H778">
        <v>17860</v>
      </c>
      <c r="I778">
        <v>67</v>
      </c>
      <c r="J778">
        <v>4</v>
      </c>
      <c r="K778" t="s">
        <v>16</v>
      </c>
      <c r="L778" t="s">
        <v>51</v>
      </c>
      <c r="M778">
        <v>3</v>
      </c>
      <c r="N778">
        <f t="shared" si="72"/>
        <v>1800</v>
      </c>
      <c r="O778">
        <f t="shared" si="73"/>
        <v>1764</v>
      </c>
      <c r="P778" s="1">
        <f t="shared" si="74"/>
        <v>26.328358208955223</v>
      </c>
      <c r="Q778" s="1">
        <f t="shared" si="75"/>
        <v>3.2099222938053713</v>
      </c>
      <c r="R778" s="1">
        <f t="shared" si="76"/>
        <v>631.87320353558732</v>
      </c>
      <c r="S778" s="1">
        <f t="shared" si="77"/>
        <v>4.8732035355873222</v>
      </c>
    </row>
    <row r="779" spans="1:19" x14ac:dyDescent="0.35">
      <c r="A779">
        <v>778</v>
      </c>
      <c r="B779" t="s">
        <v>50</v>
      </c>
      <c r="C779">
        <v>915</v>
      </c>
      <c r="D779" t="s">
        <v>32</v>
      </c>
      <c r="E779">
        <v>160</v>
      </c>
      <c r="F779">
        <v>350</v>
      </c>
      <c r="G779">
        <v>550</v>
      </c>
      <c r="H779">
        <v>20370</v>
      </c>
      <c r="I779">
        <v>58</v>
      </c>
      <c r="J779">
        <v>4</v>
      </c>
      <c r="K779" t="s">
        <v>16</v>
      </c>
      <c r="L779" t="s">
        <v>51</v>
      </c>
      <c r="M779">
        <v>3</v>
      </c>
      <c r="N779">
        <f t="shared" si="72"/>
        <v>1800</v>
      </c>
      <c r="O779">
        <f t="shared" si="73"/>
        <v>1764</v>
      </c>
      <c r="P779" s="1">
        <f t="shared" si="74"/>
        <v>30.413793103448278</v>
      </c>
      <c r="Q779" s="1">
        <f t="shared" si="75"/>
        <v>2.7787387021001724</v>
      </c>
      <c r="R779" s="1">
        <f t="shared" si="76"/>
        <v>546.99471350841895</v>
      </c>
      <c r="S779" s="1">
        <f t="shared" si="77"/>
        <v>-3.005286491581046</v>
      </c>
    </row>
    <row r="780" spans="1:19" x14ac:dyDescent="0.35">
      <c r="A780">
        <v>779</v>
      </c>
      <c r="B780" t="s">
        <v>50</v>
      </c>
      <c r="C780">
        <v>915</v>
      </c>
      <c r="D780" t="s">
        <v>32</v>
      </c>
      <c r="E780">
        <v>160</v>
      </c>
      <c r="F780">
        <v>300</v>
      </c>
      <c r="G780">
        <v>745</v>
      </c>
      <c r="H780">
        <v>12890</v>
      </c>
      <c r="I780">
        <v>79</v>
      </c>
      <c r="J780">
        <v>4</v>
      </c>
      <c r="K780" t="s">
        <v>16</v>
      </c>
      <c r="L780" t="s">
        <v>51</v>
      </c>
      <c r="M780">
        <v>3</v>
      </c>
      <c r="N780">
        <f t="shared" si="72"/>
        <v>1800</v>
      </c>
      <c r="O780">
        <f t="shared" si="73"/>
        <v>1764</v>
      </c>
      <c r="P780" s="1">
        <f t="shared" si="74"/>
        <v>22.329113924050635</v>
      </c>
      <c r="Q780" s="1">
        <f t="shared" si="75"/>
        <v>3.7848337494123037</v>
      </c>
      <c r="R780" s="1">
        <f t="shared" si="76"/>
        <v>745.04452357181196</v>
      </c>
      <c r="S780" s="1">
        <f t="shared" si="77"/>
        <v>4.4523571811964757E-2</v>
      </c>
    </row>
    <row r="781" spans="1:19" x14ac:dyDescent="0.35">
      <c r="A781">
        <v>780</v>
      </c>
      <c r="B781" t="s">
        <v>50</v>
      </c>
      <c r="C781">
        <v>915</v>
      </c>
      <c r="D781" t="s">
        <v>32</v>
      </c>
      <c r="E781">
        <v>160</v>
      </c>
      <c r="F781">
        <v>300</v>
      </c>
      <c r="G781">
        <v>627</v>
      </c>
      <c r="H781">
        <v>15316</v>
      </c>
      <c r="I781">
        <v>67</v>
      </c>
      <c r="J781">
        <v>4</v>
      </c>
      <c r="K781" t="s">
        <v>16</v>
      </c>
      <c r="L781" t="s">
        <v>51</v>
      </c>
      <c r="M781">
        <v>3</v>
      </c>
      <c r="N781">
        <f t="shared" si="72"/>
        <v>1800</v>
      </c>
      <c r="O781">
        <f t="shared" si="73"/>
        <v>1764</v>
      </c>
      <c r="P781" s="1">
        <f t="shared" si="74"/>
        <v>26.328358208955223</v>
      </c>
      <c r="Q781" s="1">
        <f t="shared" si="75"/>
        <v>3.2099222938053713</v>
      </c>
      <c r="R781" s="1">
        <f t="shared" si="76"/>
        <v>631.87320353558732</v>
      </c>
      <c r="S781" s="1">
        <f t="shared" si="77"/>
        <v>4.8732035355873222</v>
      </c>
    </row>
    <row r="782" spans="1:19" x14ac:dyDescent="0.35">
      <c r="A782">
        <v>781</v>
      </c>
      <c r="B782" t="s">
        <v>50</v>
      </c>
      <c r="C782">
        <v>915</v>
      </c>
      <c r="D782" t="s">
        <v>32</v>
      </c>
      <c r="E782">
        <v>160</v>
      </c>
      <c r="F782">
        <v>300</v>
      </c>
      <c r="G782">
        <v>550</v>
      </c>
      <c r="H782">
        <v>17460</v>
      </c>
      <c r="I782">
        <v>58</v>
      </c>
      <c r="J782">
        <v>4</v>
      </c>
      <c r="K782" t="s">
        <v>16</v>
      </c>
      <c r="L782" t="s">
        <v>51</v>
      </c>
      <c r="M782">
        <v>3</v>
      </c>
      <c r="N782">
        <f t="shared" si="72"/>
        <v>1800</v>
      </c>
      <c r="O782">
        <f t="shared" si="73"/>
        <v>1764</v>
      </c>
      <c r="P782" s="1">
        <f t="shared" si="74"/>
        <v>30.413793103448278</v>
      </c>
      <c r="Q782" s="1">
        <f t="shared" si="75"/>
        <v>2.7787387021001724</v>
      </c>
      <c r="R782" s="1">
        <f t="shared" si="76"/>
        <v>546.99471350841895</v>
      </c>
      <c r="S782" s="1">
        <f t="shared" si="77"/>
        <v>-3.005286491581046</v>
      </c>
    </row>
    <row r="783" spans="1:19" x14ac:dyDescent="0.35">
      <c r="A783">
        <v>782</v>
      </c>
      <c r="B783" t="s">
        <v>50</v>
      </c>
      <c r="C783">
        <v>915</v>
      </c>
      <c r="D783" t="s">
        <v>32</v>
      </c>
      <c r="E783">
        <v>160</v>
      </c>
      <c r="F783">
        <v>250</v>
      </c>
      <c r="G783">
        <v>745</v>
      </c>
      <c r="H783">
        <v>10742</v>
      </c>
      <c r="I783">
        <v>79</v>
      </c>
      <c r="J783">
        <v>4</v>
      </c>
      <c r="K783" t="s">
        <v>16</v>
      </c>
      <c r="L783" t="s">
        <v>51</v>
      </c>
      <c r="M783">
        <v>3</v>
      </c>
      <c r="N783">
        <f t="shared" si="72"/>
        <v>1800</v>
      </c>
      <c r="O783">
        <f t="shared" si="73"/>
        <v>1764</v>
      </c>
      <c r="P783" s="1">
        <f t="shared" si="74"/>
        <v>22.329113924050635</v>
      </c>
      <c r="Q783" s="1">
        <f t="shared" si="75"/>
        <v>3.7848337494123037</v>
      </c>
      <c r="R783" s="1">
        <f t="shared" si="76"/>
        <v>745.04452357181196</v>
      </c>
      <c r="S783" s="1">
        <f t="shared" si="77"/>
        <v>4.4523571811964757E-2</v>
      </c>
    </row>
    <row r="784" spans="1:19" x14ac:dyDescent="0.35">
      <c r="A784">
        <v>783</v>
      </c>
      <c r="B784" t="s">
        <v>50</v>
      </c>
      <c r="C784">
        <v>915</v>
      </c>
      <c r="D784" t="s">
        <v>32</v>
      </c>
      <c r="E784">
        <v>160</v>
      </c>
      <c r="F784">
        <v>250</v>
      </c>
      <c r="G784">
        <v>627</v>
      </c>
      <c r="H784">
        <v>12763</v>
      </c>
      <c r="I784">
        <v>67</v>
      </c>
      <c r="J784">
        <v>4</v>
      </c>
      <c r="K784" t="s">
        <v>16</v>
      </c>
      <c r="L784" t="s">
        <v>51</v>
      </c>
      <c r="M784">
        <v>3</v>
      </c>
      <c r="N784">
        <f t="shared" si="72"/>
        <v>1800</v>
      </c>
      <c r="O784">
        <f t="shared" si="73"/>
        <v>1764</v>
      </c>
      <c r="P784" s="1">
        <f t="shared" si="74"/>
        <v>26.328358208955223</v>
      </c>
      <c r="Q784" s="1">
        <f t="shared" si="75"/>
        <v>3.2099222938053713</v>
      </c>
      <c r="R784" s="1">
        <f t="shared" si="76"/>
        <v>631.87320353558732</v>
      </c>
      <c r="S784" s="1">
        <f t="shared" si="77"/>
        <v>4.8732035355873222</v>
      </c>
    </row>
    <row r="785" spans="1:19" x14ac:dyDescent="0.35">
      <c r="A785">
        <v>784</v>
      </c>
      <c r="B785" t="s">
        <v>50</v>
      </c>
      <c r="C785">
        <v>915</v>
      </c>
      <c r="D785" t="s">
        <v>32</v>
      </c>
      <c r="E785">
        <v>160</v>
      </c>
      <c r="F785">
        <v>250</v>
      </c>
      <c r="G785">
        <v>550</v>
      </c>
      <c r="H785">
        <v>14550</v>
      </c>
      <c r="I785">
        <v>58</v>
      </c>
      <c r="J785">
        <v>4</v>
      </c>
      <c r="K785" t="s">
        <v>16</v>
      </c>
      <c r="L785" t="s">
        <v>51</v>
      </c>
      <c r="M785">
        <v>3</v>
      </c>
      <c r="N785">
        <f t="shared" si="72"/>
        <v>1800</v>
      </c>
      <c r="O785">
        <f t="shared" si="73"/>
        <v>1764</v>
      </c>
      <c r="P785" s="1">
        <f t="shared" si="74"/>
        <v>30.413793103448278</v>
      </c>
      <c r="Q785" s="1">
        <f t="shared" si="75"/>
        <v>2.7787387021001724</v>
      </c>
      <c r="R785" s="1">
        <f t="shared" si="76"/>
        <v>546.99471350841895</v>
      </c>
      <c r="S785" s="1">
        <f t="shared" si="77"/>
        <v>-3.005286491581046</v>
      </c>
    </row>
    <row r="786" spans="1:19" x14ac:dyDescent="0.35">
      <c r="A786">
        <v>785</v>
      </c>
      <c r="B786" t="s">
        <v>50</v>
      </c>
      <c r="C786">
        <v>915</v>
      </c>
      <c r="D786" t="s">
        <v>32</v>
      </c>
      <c r="E786">
        <v>160</v>
      </c>
      <c r="F786">
        <v>250</v>
      </c>
      <c r="G786">
        <v>496</v>
      </c>
      <c r="H786">
        <v>16202</v>
      </c>
      <c r="I786">
        <v>53</v>
      </c>
      <c r="J786">
        <v>6</v>
      </c>
      <c r="K786" t="s">
        <v>16</v>
      </c>
      <c r="L786" t="s">
        <v>51</v>
      </c>
      <c r="M786">
        <v>3</v>
      </c>
      <c r="N786">
        <f t="shared" si="72"/>
        <v>1200</v>
      </c>
      <c r="O786">
        <f t="shared" si="73"/>
        <v>1176</v>
      </c>
      <c r="P786" s="1">
        <f t="shared" si="74"/>
        <v>22.188679245283019</v>
      </c>
      <c r="Q786" s="1">
        <f t="shared" si="75"/>
        <v>2.5391922622639505</v>
      </c>
      <c r="R786" s="1">
        <f t="shared" si="76"/>
        <v>499.83999682665865</v>
      </c>
      <c r="S786" s="1">
        <f t="shared" si="77"/>
        <v>3.8399968266586484</v>
      </c>
    </row>
    <row r="787" spans="1:19" x14ac:dyDescent="0.35">
      <c r="A787">
        <v>786</v>
      </c>
      <c r="B787" t="s">
        <v>50</v>
      </c>
      <c r="C787">
        <v>915</v>
      </c>
      <c r="D787" t="s">
        <v>32</v>
      </c>
      <c r="E787">
        <v>160</v>
      </c>
      <c r="F787">
        <v>250</v>
      </c>
      <c r="G787">
        <v>417</v>
      </c>
      <c r="H787">
        <v>19259</v>
      </c>
      <c r="I787">
        <v>44</v>
      </c>
      <c r="J787">
        <v>6</v>
      </c>
      <c r="K787" t="s">
        <v>16</v>
      </c>
      <c r="L787" t="s">
        <v>51</v>
      </c>
      <c r="M787">
        <v>3</v>
      </c>
      <c r="N787">
        <f t="shared" si="72"/>
        <v>1200</v>
      </c>
      <c r="O787">
        <f t="shared" si="73"/>
        <v>1176</v>
      </c>
      <c r="P787" s="1">
        <f t="shared" si="74"/>
        <v>26.727272727272727</v>
      </c>
      <c r="Q787" s="1">
        <f t="shared" si="75"/>
        <v>2.1080086705587511</v>
      </c>
      <c r="R787" s="1">
        <f t="shared" si="76"/>
        <v>414.96150679949011</v>
      </c>
      <c r="S787" s="1">
        <f t="shared" si="77"/>
        <v>-2.0384932005098904</v>
      </c>
    </row>
    <row r="788" spans="1:19" x14ac:dyDescent="0.35">
      <c r="A788">
        <v>787</v>
      </c>
      <c r="B788" t="s">
        <v>50</v>
      </c>
      <c r="C788">
        <v>915</v>
      </c>
      <c r="D788" t="s">
        <v>32</v>
      </c>
      <c r="E788">
        <v>160</v>
      </c>
      <c r="F788">
        <v>250</v>
      </c>
      <c r="G788">
        <v>365</v>
      </c>
      <c r="H788">
        <v>21966</v>
      </c>
      <c r="I788">
        <v>39</v>
      </c>
      <c r="J788">
        <v>6</v>
      </c>
      <c r="K788" t="s">
        <v>16</v>
      </c>
      <c r="L788" t="s">
        <v>51</v>
      </c>
      <c r="M788">
        <v>3</v>
      </c>
      <c r="N788">
        <f t="shared" si="72"/>
        <v>1200</v>
      </c>
      <c r="O788">
        <f t="shared" si="73"/>
        <v>1176</v>
      </c>
      <c r="P788" s="1">
        <f t="shared" si="74"/>
        <v>30.153846153846153</v>
      </c>
      <c r="Q788" s="1">
        <f t="shared" si="75"/>
        <v>1.8684622307225296</v>
      </c>
      <c r="R788" s="1">
        <f t="shared" si="76"/>
        <v>367.80679011772992</v>
      </c>
      <c r="S788" s="1">
        <f t="shared" si="77"/>
        <v>2.8067901177299177</v>
      </c>
    </row>
  </sheetData>
  <autoFilter ref="A1:S7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Bing Wang</cp:lastModifiedBy>
  <dcterms:created xsi:type="dcterms:W3CDTF">2026-06-08T20:15:59Z</dcterms:created>
  <dcterms:modified xsi:type="dcterms:W3CDTF">2026-06-09T13:03:50Z</dcterms:modified>
</cp:coreProperties>
</file>